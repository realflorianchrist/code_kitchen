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K:\9000\9890_Shd_EP_Rheinfelden_Frick_Kt_AG\P100_Projektschluessel\P110_Systemgestaltung\"/>
    </mc:Choice>
  </mc:AlternateContent>
  <bookViews>
    <workbookView xWindow="0" yWindow="0" windowWidth="25965" windowHeight="12990"/>
  </bookViews>
  <sheets>
    <sheet name=".Index 430" sheetId="1" r:id="rId1"/>
  </sheets>
  <externalReferences>
    <externalReference r:id="rId2"/>
  </externalReferences>
  <definedNames>
    <definedName name="Bereich">[1]Bereich!$A$1:$A$95</definedName>
    <definedName name="Branche">[1]Branche!$A$1:$A$182</definedName>
    <definedName name="_xlnm.Print_Area" localSheetId="0">'.Index 430'!$A$1:$F$77</definedName>
    <definedName name="Gebiet">[1]Gebiet!$A$1:$A$22</definedName>
    <definedName name="NKTarifkat">'[1]NK-Tarifkat'!$A$1:$A$10</definedName>
    <definedName name="Organisationseinheit">[1]Organisation!$A$1:$A$9</definedName>
    <definedName name="RG_Ausloesung">'[1]RG-Ausloesung'!$A$1:$A$6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" i="1" l="1"/>
  <c r="A79" i="1"/>
  <c r="C3" i="1"/>
</calcChain>
</file>

<file path=xl/sharedStrings.xml><?xml version="1.0" encoding="utf-8"?>
<sst xmlns="http://schemas.openxmlformats.org/spreadsheetml/2006/main" count="83" uniqueCount="75">
  <si>
    <t>Auftrag zur Projekteröffnung myPARM</t>
  </si>
  <si>
    <t>Projektname / Bauherr / Stamm / PL - PLStv</t>
  </si>
  <si>
    <t>Projektbezeichnung Stamm</t>
  </si>
  <si>
    <t>Projektnummer (Vergabe bei Eröffnung)</t>
  </si>
  <si>
    <t>Organisationseinheit (Bereich AeBo)</t>
  </si>
  <si>
    <t>A.B.BH. Bautenerhalt und Geomatik</t>
  </si>
  <si>
    <t>Kurzform Bauherr</t>
  </si>
  <si>
    <t>ASTRA Filiale 3 Zofingen</t>
  </si>
  <si>
    <t>Projektbeschrieb</t>
  </si>
  <si>
    <t>(max. 50 Zeichen)</t>
  </si>
  <si>
    <t>EP Rheinfelden-Frick</t>
  </si>
  <si>
    <t>Objektstandort</t>
  </si>
  <si>
    <t>Kt. AG</t>
  </si>
  <si>
    <t>Startdatum / Enddatum</t>
  </si>
  <si>
    <t>/</t>
  </si>
  <si>
    <t>Projektleiter / Projektleiter Stellvertreter</t>
  </si>
  <si>
    <t>FCh</t>
  </si>
  <si>
    <t>SD</t>
  </si>
  <si>
    <t>Bauherr</t>
  </si>
  <si>
    <t>Firma/Name</t>
  </si>
  <si>
    <t>Bundesamt für Strassen (ASTRA), Filiale 3</t>
  </si>
  <si>
    <t>Projektleiter</t>
  </si>
  <si>
    <t>Nicole Schultz</t>
  </si>
  <si>
    <t>Strasse</t>
  </si>
  <si>
    <t>Brühlstrasse 3</t>
  </si>
  <si>
    <t>Postfach</t>
  </si>
  <si>
    <t>PLZ/Ort</t>
  </si>
  <si>
    <t>4800 Zofingen</t>
  </si>
  <si>
    <t>Versandadresse = Bauherr</t>
  </si>
  <si>
    <t>Versandadresse</t>
  </si>
  <si>
    <t>INGE EP, RF-BB</t>
  </si>
  <si>
    <t>Abteilung</t>
  </si>
  <si>
    <t>c/o Aegerter &amp; Bosshardt AG</t>
  </si>
  <si>
    <t>Hochstrasse 48</t>
  </si>
  <si>
    <t>4002 Basel</t>
  </si>
  <si>
    <t>Index / Unternehmensfelder / Projektcontrolling / Rechnungsstellung</t>
  </si>
  <si>
    <t>Indexnummer und Name</t>
  </si>
  <si>
    <t>GHGW</t>
  </si>
  <si>
    <t xml:space="preserve">Bereich </t>
  </si>
  <si>
    <t>4.9. Übrige Bautenerhalt</t>
  </si>
  <si>
    <t>Gebiet</t>
  </si>
  <si>
    <t>CH.03.Kanton AG</t>
  </si>
  <si>
    <t>Branche</t>
  </si>
  <si>
    <t>1.1. ASTRA</t>
  </si>
  <si>
    <t>Vertragsdatum / Vertragsnummer extern</t>
  </si>
  <si>
    <t>090069/000003</t>
  </si>
  <si>
    <t>Projektleiter Auftraggeber</t>
  </si>
  <si>
    <t>Versicherung</t>
  </si>
  <si>
    <t>Papier-Ordner erstellen</t>
  </si>
  <si>
    <t>CAD-Projekt eröffnen</t>
  </si>
  <si>
    <t>CAD-Projektbetreuer</t>
  </si>
  <si>
    <t>Nummer für Plotter und Drucker anlegen</t>
  </si>
  <si>
    <t>Vorgängiger Versand von Regierapporten 
(ASTRA-, TBA BL-Projekte)</t>
  </si>
  <si>
    <t>Cash-Formular (nur ASTRA-Projekte)</t>
  </si>
  <si>
    <t>Rechnungsauslösung durch</t>
  </si>
  <si>
    <t>monatlich</t>
  </si>
  <si>
    <t>Rabatt auf Arbeiten</t>
  </si>
  <si>
    <t>PLA / TET / Fakturierung</t>
  </si>
  <si>
    <t>Tarifart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</si>
  <si>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</si>
  <si>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Honorar-Tarifkategorie</t>
  </si>
  <si>
    <t>EP RF</t>
  </si>
  <si>
    <t>Nebenkosten-Tarifkategorie</t>
  </si>
  <si>
    <t>NV/P (nicht verrechenbar/pauschal)</t>
  </si>
  <si>
    <t>Mitarbeiterausnahmen siehe Bemerkungsfeld</t>
  </si>
  <si>
    <t>Honorar / Budget</t>
  </si>
  <si>
    <t>Honorar in CHF</t>
  </si>
  <si>
    <t>Arbeiten</t>
  </si>
  <si>
    <t>ohne MwSt. und abzüglich Rabatt eingeben</t>
  </si>
  <si>
    <t>Nebenkosten</t>
  </si>
  <si>
    <t>ohne MwSt.</t>
  </si>
  <si>
    <t>Fremdkosten</t>
  </si>
  <si>
    <t>Laufweg: PL → Projektassistenz → involvierte Stellen (PL, F+R, Sekretariat, IZ, CAD-Koordinator)</t>
  </si>
  <si>
    <t>Projektnummer für Drucker / Plotter</t>
  </si>
  <si>
    <t>Projektbezeichnung für Drucker / Plotter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</si>
</sst>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"/>
    <numFmt numFmtId="165" formatCode="dd/mm/yyyy;@"/>
    <numFmt numFmtId="166" formatCode="000"/>
  </numFmts>
  <fonts count="1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0" fillId="0" borderId="0" xfId="0" applyFont="1" applyProtection="1">
      <protection locked="0"/>
    </xf>
    <xf numFmtId="0" fontId="0" fillId="0" borderId="0" xfId="0" applyFont="1" applyProtection="1"/>
    <xf numFmtId="0" fontId="6" fillId="3" borderId="0" xfId="0" applyFont="1" applyFill="1" applyProtection="1"/>
    <xf numFmtId="0" fontId="8" fillId="3" borderId="0" xfId="0" applyFont="1" applyFill="1" applyBorder="1" applyProtection="1"/>
    <xf numFmtId="0" fontId="8" fillId="0" borderId="0" xfId="0" applyFont="1" applyProtection="1">
      <protection locked="0"/>
    </xf>
    <xf numFmtId="0" fontId="8" fillId="0" borderId="0" xfId="0" applyFont="1" applyProtection="1"/>
    <xf numFmtId="0" fontId="1" fillId="0" borderId="0" xfId="0" applyFont="1" applyFill="1" applyAlignment="1" applyProtection="1">
      <alignment vertical="center"/>
    </xf>
    <xf numFmtId="0" fontId="1" fillId="0" borderId="0" xfId="0" quotePrefix="1" applyFont="1" applyAlignment="1" applyProtection="1">
      <alignment horizontal="right" vertical="center" wrapText="1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164" fontId="0" fillId="4" borderId="1" xfId="0" quotePrefix="1" applyNumberFormat="1" applyFont="1" applyFill="1" applyBorder="1" applyAlignment="1" applyProtection="1">
      <alignment horizontal="left"/>
      <protection locked="0"/>
    </xf>
    <xf numFmtId="164" fontId="0" fillId="4" borderId="2" xfId="0" quotePrefix="1" applyNumberFormat="1" applyFont="1" applyFill="1" applyBorder="1" applyAlignment="1" applyProtection="1">
      <alignment horizontal="left"/>
      <protection locked="0"/>
    </xf>
    <xf numFmtId="0" fontId="0" fillId="4" borderId="3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right"/>
    </xf>
    <xf numFmtId="0" fontId="0" fillId="4" borderId="1" xfId="0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165" fontId="0" fillId="4" borderId="1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4" borderId="1" xfId="0" applyFont="1" applyFill="1" applyBorder="1" applyAlignment="1" applyProtection="1">
      <protection locked="0"/>
    </xf>
    <xf numFmtId="0" fontId="1" fillId="0" borderId="0" xfId="0" applyFont="1" applyFill="1" applyProtection="1"/>
    <xf numFmtId="166" fontId="1" fillId="4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 applyProtection="1">
      <alignment horizontal="left"/>
      <protection locked="0"/>
    </xf>
    <xf numFmtId="0" fontId="0" fillId="4" borderId="1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Font="1" applyAlignment="1" applyProtection="1">
      <alignment horizontal="left"/>
    </xf>
    <xf numFmtId="0" fontId="2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wrapText="1"/>
    </xf>
    <xf numFmtId="0" fontId="0" fillId="0" borderId="0" xfId="0" applyFont="1"/>
    <xf numFmtId="0" fontId="0" fillId="0" borderId="0" xfId="0" applyFont="1" applyBorder="1" applyAlignment="1" applyProtection="1">
      <alignment vertical="center"/>
    </xf>
    <xf numFmtId="10" fontId="0" fillId="4" borderId="1" xfId="0" applyNumberFormat="1" applyFont="1" applyFill="1" applyBorder="1" applyAlignment="1" applyProtection="1">
      <alignment horizontal="right"/>
      <protection locked="0"/>
    </xf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Alignment="1" applyProtection="1">
      <alignment vertical="top"/>
    </xf>
    <xf numFmtId="0" fontId="0" fillId="4" borderId="1" xfId="0" applyNumberFormat="1" applyFont="1" applyFill="1" applyBorder="1" applyAlignment="1" applyProtection="1">
      <alignment horizontal="left" vertical="center" wrapText="1"/>
      <protection locked="0"/>
    </xf>
    <xf numFmtId="3" fontId="0" fillId="4" borderId="1" xfId="0" applyNumberFormat="1" applyFont="1" applyFill="1" applyBorder="1" applyAlignment="1" applyProtection="1">
      <alignment horizontal="right"/>
      <protection locked="0"/>
    </xf>
    <xf numFmtId="0" fontId="0" fillId="0" borderId="4" xfId="0" applyFont="1" applyBorder="1" applyAlignment="1" applyProtection="1"/>
    <xf numFmtId="0" fontId="0" fillId="0" borderId="4" xfId="0" applyFont="1" applyBorder="1" applyProtection="1"/>
    <xf numFmtId="0" fontId="0" fillId="0" borderId="4" xfId="0" applyFont="1" applyBorder="1" applyProtection="1">
      <protection locked="0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6" borderId="0" xfId="0" applyFont="1" applyFill="1" applyProtection="1"/>
    <xf numFmtId="0" fontId="0" fillId="6" borderId="0" xfId="0" applyFont="1" applyFill="1" applyProtection="1"/>
    <xf numFmtId="0" fontId="0" fillId="6" borderId="0" xfId="0" applyFont="1" applyFill="1" applyBorder="1" applyProtection="1"/>
    <xf numFmtId="0" fontId="9" fillId="6" borderId="0" xfId="0" quotePrefix="1" applyFont="1" applyFill="1" applyProtection="1">
      <protection locked="0"/>
    </xf>
  </cellXfs>
  <cellStyles count="1">
    <cellStyle name="Standard" xfId="0" builtinId="0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1034" name="Rechnungsausl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1039" name="Versicherung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kter&#246;ffnung%20EP%20R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Index 100"/>
      <sheetName val=".Index 200"/>
      <sheetName val="Gebiet"/>
      <sheetName val="Bereich"/>
      <sheetName val="Branche"/>
      <sheetName val="Organisation"/>
      <sheetName val="NK-Tarifkat"/>
      <sheetName val="RG-Ausloesung"/>
      <sheetName val=".Index 300"/>
      <sheetName val=".Index 310"/>
      <sheetName val=".Index 320"/>
      <sheetName val=".Index 330"/>
      <sheetName val=".Index 400"/>
      <sheetName val=".Index 410"/>
      <sheetName val=".Index 420"/>
      <sheetName val=".Index 430"/>
      <sheetName val=".Index 500"/>
      <sheetName val=".Index 999"/>
      <sheetName val=".Index 777"/>
      <sheetName val=".Index 900"/>
      <sheetName val=".Index 910"/>
      <sheetName val=".Index 990"/>
      <sheetName val="Tabelle2"/>
    </sheetNames>
    <sheetDataSet>
      <sheetData sheetId="0"/>
      <sheetData sheetId="1"/>
      <sheetData sheetId="2">
        <row r="1">
          <cell r="A1" t="str">
            <v>bitte auswählen…</v>
          </cell>
        </row>
        <row r="2">
          <cell r="A2" t="str">
            <v>CH.SCHWEIZ</v>
          </cell>
        </row>
        <row r="3">
          <cell r="A3" t="str">
            <v>CH.01.Kanton BS</v>
          </cell>
        </row>
        <row r="4">
          <cell r="A4" t="str">
            <v>CH.02.Kanton BL</v>
          </cell>
        </row>
        <row r="5">
          <cell r="A5" t="str">
            <v>CH.03.Kanton AG</v>
          </cell>
        </row>
        <row r="6">
          <cell r="A6" t="str">
            <v>CH.04.Kanton ZH</v>
          </cell>
        </row>
        <row r="7">
          <cell r="A7" t="str">
            <v>CH.05.Kanton SO</v>
          </cell>
        </row>
        <row r="8">
          <cell r="A8" t="str">
            <v>CH.06.Kanton LU</v>
          </cell>
        </row>
        <row r="9">
          <cell r="A9" t="str">
            <v>CH.07.Kanton BE</v>
          </cell>
        </row>
        <row r="10">
          <cell r="A10" t="str">
            <v>CH.08.Kanton SZ</v>
          </cell>
        </row>
        <row r="11">
          <cell r="A11" t="str">
            <v>CH.20.Übrige Kantone</v>
          </cell>
        </row>
        <row r="12">
          <cell r="A12" t="str">
            <v>D.DEUTSCHLAND</v>
          </cell>
        </row>
        <row r="13">
          <cell r="A13" t="str">
            <v>D.01.Landkreis Lörrach</v>
          </cell>
        </row>
        <row r="14">
          <cell r="A14" t="str">
            <v>D.02.Landkreis Freiburg</v>
          </cell>
        </row>
        <row r="15">
          <cell r="A15" t="str">
            <v>D.03.Landkreis Waldshut</v>
          </cell>
        </row>
        <row r="16">
          <cell r="A16" t="str">
            <v>D.09.Übrige Landkreise</v>
          </cell>
        </row>
        <row r="17">
          <cell r="A17" t="str">
            <v>F.FRANKREICH</v>
          </cell>
        </row>
        <row r="18">
          <cell r="A18" t="str">
            <v>F.01.Dep. Bas Rhin</v>
          </cell>
        </row>
        <row r="19">
          <cell r="A19" t="str">
            <v>F.02.Dep. Haut Rhin</v>
          </cell>
        </row>
        <row r="20">
          <cell r="A20" t="str">
            <v>F.09.Übrige Dep.</v>
          </cell>
        </row>
        <row r="21">
          <cell r="A21" t="str">
            <v>X.ÜBRIGES EUROPA</v>
          </cell>
        </row>
      </sheetData>
      <sheetData sheetId="3">
        <row r="1">
          <cell r="A1" t="str">
            <v>bitte auswählen…</v>
          </cell>
        </row>
        <row r="2">
          <cell r="A2" t="str">
            <v>1 VERKEHRSWEGE + VERKEHRSANLAGEN</v>
          </cell>
        </row>
        <row r="3">
          <cell r="A3" t="str">
            <v>1.1. Verkehrsplanung</v>
          </cell>
        </row>
        <row r="4">
          <cell r="A4" t="str">
            <v>1.2. Verkehrstechnik</v>
          </cell>
        </row>
        <row r="5">
          <cell r="A5" t="str">
            <v>1.3. Verkehrsregelungsanlagen</v>
          </cell>
        </row>
        <row r="6">
          <cell r="A6" t="str">
            <v>1.4. Schienenverkehrsanlagen</v>
          </cell>
        </row>
        <row r="7">
          <cell r="A7" t="str">
            <v>1.5. Strassen</v>
          </cell>
        </row>
        <row r="8">
          <cell r="A8" t="str">
            <v>1.6. Rad- und Fusswege</v>
          </cell>
        </row>
        <row r="9">
          <cell r="A9" t="str">
            <v>1.7. Schifffahrts- und Hafenanlagen</v>
          </cell>
        </row>
        <row r="10">
          <cell r="A10" t="str">
            <v>1.8. Flughäfen</v>
          </cell>
        </row>
        <row r="11">
          <cell r="A11" t="str">
            <v>1.9. Übrige Verkehrswege und Verkehrsanlagen</v>
          </cell>
        </row>
        <row r="12">
          <cell r="A12" t="str">
            <v>2 GRUND- UND TIEFBAU, WASSERBAU</v>
          </cell>
        </row>
        <row r="13">
          <cell r="A13" t="str">
            <v>2.01. Baugrubenabschlüsse + Unterfangungen</v>
          </cell>
        </row>
        <row r="14">
          <cell r="A14" t="str">
            <v>2.02. Tunnel und Stollen</v>
          </cell>
        </row>
        <row r="15">
          <cell r="A15" t="str">
            <v>2.03. Fundationen</v>
          </cell>
        </row>
        <row r="16">
          <cell r="A16" t="str">
            <v>2.04. Entwässerungen</v>
          </cell>
        </row>
        <row r="17">
          <cell r="A17" t="str">
            <v>2.05. Werkleitungen</v>
          </cell>
        </row>
        <row r="18">
          <cell r="A18" t="str">
            <v>2.06. Leitungstunnel</v>
          </cell>
        </row>
        <row r="19">
          <cell r="A19" t="str">
            <v>2.07. Kraftwerkanlagen</v>
          </cell>
        </row>
        <row r="20">
          <cell r="A20" t="str">
            <v>2.08. Grundbau, Geotechnik, Hydrologie</v>
          </cell>
        </row>
        <row r="21">
          <cell r="A21" t="str">
            <v>2.09. Hydraulik</v>
          </cell>
        </row>
        <row r="22">
          <cell r="A22" t="str">
            <v>2.10. Übrige Grund- und Tiefbau, Wasserbau</v>
          </cell>
        </row>
        <row r="23">
          <cell r="A23" t="str">
            <v>3 KONSTRUKTIVER INGENIEURBAU</v>
          </cell>
        </row>
        <row r="24">
          <cell r="A24" t="str">
            <v>3.1. Industrie- und Gewerbebauten</v>
          </cell>
        </row>
        <row r="25">
          <cell r="A25" t="str">
            <v>3.2. Wohn- und Geschäftsbauten</v>
          </cell>
        </row>
        <row r="26">
          <cell r="A26" t="str">
            <v>3.3. Öffentliche Bauten</v>
          </cell>
        </row>
        <row r="27">
          <cell r="A27" t="str">
            <v>3.4. Übrige Gebäude</v>
          </cell>
        </row>
        <row r="28">
          <cell r="A28" t="str">
            <v>3.5. Brücken</v>
          </cell>
        </row>
        <row r="29">
          <cell r="A29" t="str">
            <v>3.6. Tagbautunnels</v>
          </cell>
        </row>
        <row r="30">
          <cell r="A30" t="str">
            <v>3.7. Baugruben</v>
          </cell>
        </row>
        <row r="31">
          <cell r="A31" t="str">
            <v>3.8. Spezielle Fundationen</v>
          </cell>
        </row>
        <row r="32">
          <cell r="A32" t="str">
            <v>3.9. Übrige konstruktiver Ingenieurbau</v>
          </cell>
        </row>
        <row r="33">
          <cell r="A33" t="str">
            <v>4 BAUTENERHALT</v>
          </cell>
        </row>
        <row r="34">
          <cell r="A34" t="str">
            <v>4.1. Bauwerkskontrollen, Expertisen</v>
          </cell>
        </row>
        <row r="35">
          <cell r="A35" t="str">
            <v>4.2. Brücken</v>
          </cell>
        </row>
        <row r="36">
          <cell r="A36" t="str">
            <v>4.3. Tunnels</v>
          </cell>
        </row>
        <row r="37">
          <cell r="A37" t="str">
            <v>4.4. Stützmauern</v>
          </cell>
        </row>
        <row r="38">
          <cell r="A38" t="str">
            <v>4.5. Hochbauten</v>
          </cell>
        </row>
        <row r="39">
          <cell r="A39" t="str">
            <v>4.9. Übrige Bautenerhalt</v>
          </cell>
        </row>
        <row r="40">
          <cell r="A40" t="str">
            <v>5 WEITERE GEBIETE</v>
          </cell>
        </row>
        <row r="41">
          <cell r="A41" t="str">
            <v>5.1. VER- UND ENTSORGUNG</v>
          </cell>
        </row>
        <row r="42">
          <cell r="A42" t="str">
            <v>5.1.1. Abwasser</v>
          </cell>
        </row>
        <row r="43">
          <cell r="A43" t="str">
            <v>5.1.2. Wasserversorgung</v>
          </cell>
        </row>
        <row r="44">
          <cell r="A44" t="str">
            <v>5.1.3. Wärmeversorgung</v>
          </cell>
        </row>
        <row r="45">
          <cell r="A45" t="str">
            <v>5.1.4. Gasversorgung</v>
          </cell>
        </row>
        <row r="46">
          <cell r="A46" t="str">
            <v>5.1.5. GEP / GWP</v>
          </cell>
        </row>
        <row r="47">
          <cell r="A47" t="str">
            <v>5.1.6. Gesamterschliessung</v>
          </cell>
        </row>
        <row r="48">
          <cell r="A48" t="str">
            <v>5.1.7. Kabel-TV, Telefon, Datenübertragung</v>
          </cell>
        </row>
        <row r="49">
          <cell r="A49" t="str">
            <v>5.1.8. Tanklager, Silos</v>
          </cell>
        </row>
        <row r="50">
          <cell r="A50" t="str">
            <v>5.1.9. Übrige Ver- und Entsorgung</v>
          </cell>
        </row>
        <row r="51">
          <cell r="A51" t="str">
            <v>5.2. BAUHERRENMANDATE/GENERALPLANUNGEN</v>
          </cell>
        </row>
        <row r="52">
          <cell r="A52" t="str">
            <v>5.2.1. Gesamtleitung</v>
          </cell>
        </row>
        <row r="53">
          <cell r="A53" t="str">
            <v>5.2.2. Oberbauleitung</v>
          </cell>
        </row>
        <row r="54">
          <cell r="A54" t="str">
            <v>5.2.3. Gutachten, Expertisen</v>
          </cell>
        </row>
        <row r="55">
          <cell r="A55" t="str">
            <v>5.2.4. Projektmanagement</v>
          </cell>
        </row>
        <row r="56">
          <cell r="A56" t="str">
            <v>5.2.5. Generalplanungen</v>
          </cell>
        </row>
        <row r="57">
          <cell r="A57" t="str">
            <v>5.2.9. Übrige Bauherrenmandate/Generalplanungen</v>
          </cell>
        </row>
        <row r="58">
          <cell r="A58" t="str">
            <v>5.3. LÄRMSCHUTZ</v>
          </cell>
        </row>
        <row r="59">
          <cell r="A59" t="str">
            <v>5.3.1. Strassenverkehrslärm</v>
          </cell>
        </row>
        <row r="60">
          <cell r="A60" t="str">
            <v>5.3.2. Eisenbahnlärm</v>
          </cell>
        </row>
        <row r="61">
          <cell r="A61" t="str">
            <v>5.3.3. Industrie- und Gewerbelärm</v>
          </cell>
        </row>
        <row r="62">
          <cell r="A62" t="str">
            <v>5.3.4. Baulärm</v>
          </cell>
        </row>
        <row r="63">
          <cell r="A63" t="str">
            <v>5.3.5. Hochbau</v>
          </cell>
        </row>
        <row r="64">
          <cell r="A64" t="str">
            <v>5.3.6. Raumakustik</v>
          </cell>
        </row>
        <row r="65">
          <cell r="A65" t="str">
            <v>5.3.9. Übrige Lärmschutz</v>
          </cell>
        </row>
        <row r="66">
          <cell r="A66" t="str">
            <v>5.4. VERMESSUNG</v>
          </cell>
        </row>
        <row r="67">
          <cell r="A67" t="str">
            <v>5.4.1. Verkehrswege und -anlagen</v>
          </cell>
        </row>
        <row r="68">
          <cell r="A68" t="str">
            <v>5.4.2. Grund- und Tiefbau, Wasserbau</v>
          </cell>
        </row>
        <row r="69">
          <cell r="A69" t="str">
            <v>5.4.3. Konstruktiver Ingenieurbau</v>
          </cell>
        </row>
        <row r="70">
          <cell r="A70" t="str">
            <v>5.4.4. Bautenerhalt</v>
          </cell>
        </row>
        <row r="71">
          <cell r="A71" t="str">
            <v>5.4.5. Grundlagenvermessung und Beratung</v>
          </cell>
        </row>
        <row r="72">
          <cell r="A72" t="str">
            <v>5.4.6. Präzisionsvermessung</v>
          </cell>
        </row>
        <row r="73">
          <cell r="A73" t="str">
            <v>5.4.9. Übrige Vermessung</v>
          </cell>
        </row>
        <row r="74">
          <cell r="A74" t="str">
            <v>5.5. GEOGRAFISCHE INFORMATIONSSYSTEME</v>
          </cell>
        </row>
        <row r="75">
          <cell r="A75" t="str">
            <v>5.5.1. Beratung</v>
          </cell>
        </row>
        <row r="76">
          <cell r="A76" t="str">
            <v>5.5.2. Konfektionierung und Programmierung</v>
          </cell>
        </row>
        <row r="77">
          <cell r="A77" t="str">
            <v>5.5.3. Datenerfassung</v>
          </cell>
        </row>
        <row r="78">
          <cell r="A78" t="str">
            <v>5.5.9. Übrige geografische Informationssysteme</v>
          </cell>
        </row>
        <row r="79">
          <cell r="A79" t="str">
            <v>5.6. INFORMATIK</v>
          </cell>
        </row>
        <row r="80">
          <cell r="A80" t="str">
            <v>5.6.1. Programmierung</v>
          </cell>
        </row>
        <row r="81">
          <cell r="A81" t="str">
            <v>5.6.2. Beratung und Projektierung</v>
          </cell>
        </row>
        <row r="82">
          <cell r="A82" t="str">
            <v>5.6.3. LAN/WAN-Installationen</v>
          </cell>
        </row>
        <row r="83">
          <cell r="A83" t="str">
            <v>5.6.9. Übrige Informatik</v>
          </cell>
        </row>
        <row r="84">
          <cell r="A84" t="str">
            <v>5.7. UMWELTPLANUNG</v>
          </cell>
        </row>
        <row r="85">
          <cell r="A85" t="str">
            <v>5.7.1. Umweltverträglichkeitsberichte</v>
          </cell>
        </row>
        <row r="86">
          <cell r="A86" t="str">
            <v>5.7.2. Altlasten</v>
          </cell>
        </row>
        <row r="87">
          <cell r="A87" t="str">
            <v>5.7.3. Grundwasserschutz</v>
          </cell>
        </row>
        <row r="88">
          <cell r="A88" t="str">
            <v>5.7.4. Erschütterungen</v>
          </cell>
        </row>
        <row r="89">
          <cell r="A89" t="str">
            <v>5.7.9. Übrige Umweltplanung</v>
          </cell>
        </row>
        <row r="90">
          <cell r="A90" t="str">
            <v>5.8. WEITERE DIENSTLEISTUNGEN</v>
          </cell>
        </row>
        <row r="91">
          <cell r="A91" t="str">
            <v>5.8.1. Raumplanung</v>
          </cell>
        </row>
        <row r="92">
          <cell r="A92" t="str">
            <v>5.8.7. Verwaltung HDI</v>
          </cell>
        </row>
        <row r="93">
          <cell r="A93" t="str">
            <v>5.8.8. Liegenschaftsbuchhaltung PVS UIAG</v>
          </cell>
        </row>
        <row r="94">
          <cell r="A94" t="str">
            <v>5.8.9. Übrige weitere Dienstleistungen</v>
          </cell>
        </row>
      </sheetData>
      <sheetData sheetId="4">
        <row r="1">
          <cell r="A1" t="str">
            <v>bitte auswählen…</v>
          </cell>
        </row>
        <row r="2">
          <cell r="A2" t="str">
            <v>1 BUNDESÄMTER</v>
          </cell>
        </row>
        <row r="3">
          <cell r="A3" t="str">
            <v>1.1. ASTRA</v>
          </cell>
        </row>
        <row r="4">
          <cell r="A4" t="str">
            <v>1.2. NSNW AG</v>
          </cell>
        </row>
        <row r="5">
          <cell r="A5" t="str">
            <v>1.9. Übrige Bundesämter</v>
          </cell>
        </row>
        <row r="6">
          <cell r="A6" t="str">
            <v>2 KANTONALE ÄMTER</v>
          </cell>
        </row>
        <row r="7">
          <cell r="A7" t="str">
            <v>2.1. Baudirektion/-departement</v>
          </cell>
        </row>
        <row r="8">
          <cell r="A8" t="str">
            <v>2.1.1. Tiefbauämter</v>
          </cell>
        </row>
        <row r="9">
          <cell r="A9" t="str">
            <v>2.1.2. Hochbauämter</v>
          </cell>
        </row>
        <row r="10">
          <cell r="A10" t="str">
            <v>2.1.3. Ämter für Umweltschutz und Energie</v>
          </cell>
        </row>
        <row r="11">
          <cell r="A11" t="str">
            <v>2.1.9. Übrige Baudirektion/-departement</v>
          </cell>
        </row>
        <row r="12">
          <cell r="A12" t="str">
            <v>2.2. Volkswirtschaftsdirektion/-departement</v>
          </cell>
        </row>
        <row r="13">
          <cell r="A13" t="str">
            <v>2.2.1. Schweizerische Rheinhäfen</v>
          </cell>
        </row>
        <row r="14">
          <cell r="A14" t="str">
            <v>2.2.2. Hafenverwaltungen</v>
          </cell>
        </row>
        <row r="15">
          <cell r="A15" t="str">
            <v>2.2.9. Übrige Volkswirtschaftsdirektion/-departement</v>
          </cell>
        </row>
        <row r="16">
          <cell r="A16" t="str">
            <v>2.9. Übrige kantonale Ämter</v>
          </cell>
        </row>
        <row r="17">
          <cell r="A17" t="str">
            <v>3 GEMEINDEN</v>
          </cell>
        </row>
        <row r="18">
          <cell r="A18" t="str">
            <v>3.0 KANTON BS</v>
          </cell>
        </row>
        <row r="19">
          <cell r="A19" t="str">
            <v>3.0.1. Basel</v>
          </cell>
        </row>
        <row r="20">
          <cell r="A20" t="str">
            <v>3.0.2. Bettingen</v>
          </cell>
        </row>
        <row r="21">
          <cell r="A21" t="str">
            <v>3.0.3. Riehen</v>
          </cell>
        </row>
        <row r="22">
          <cell r="A22" t="str">
            <v>3.1. KANTON BL</v>
          </cell>
        </row>
        <row r="23">
          <cell r="A23" t="str">
            <v>3.1.01. Aesch</v>
          </cell>
        </row>
        <row r="24">
          <cell r="A24" t="str">
            <v>3.1.02. Binningen</v>
          </cell>
        </row>
        <row r="25">
          <cell r="A25" t="str">
            <v>3.1.03. Birsfelden</v>
          </cell>
        </row>
        <row r="26">
          <cell r="A26" t="str">
            <v>3.1.04. Duggingen</v>
          </cell>
        </row>
        <row r="27">
          <cell r="A27" t="str">
            <v>3.1.05. Nusshof</v>
          </cell>
        </row>
        <row r="28">
          <cell r="A28" t="str">
            <v>3.1.06. Reinach</v>
          </cell>
        </row>
        <row r="29">
          <cell r="A29" t="str">
            <v>3.1.29. Übrige Gemeinden Kanton BL</v>
          </cell>
        </row>
        <row r="30">
          <cell r="A30" t="str">
            <v>3.2. KANTON AG</v>
          </cell>
        </row>
        <row r="31">
          <cell r="A31" t="str">
            <v>3.2.01. Hellikon</v>
          </cell>
        </row>
        <row r="32">
          <cell r="A32" t="str">
            <v>3.2.02. Magden</v>
          </cell>
        </row>
        <row r="33">
          <cell r="A33" t="str">
            <v>3.2.03. Möhlin</v>
          </cell>
        </row>
        <row r="34">
          <cell r="A34" t="str">
            <v>3.2.04. Mumpf</v>
          </cell>
        </row>
        <row r="35">
          <cell r="A35" t="str">
            <v>3.2.05. Olsberg</v>
          </cell>
        </row>
        <row r="36">
          <cell r="A36" t="str">
            <v>3.2.06. Rheinfelden</v>
          </cell>
        </row>
        <row r="37">
          <cell r="A37" t="str">
            <v>3.2.07. Wegenstetten</v>
          </cell>
        </row>
        <row r="38">
          <cell r="A38" t="str">
            <v>3.2.08. Zeiningen</v>
          </cell>
        </row>
        <row r="39">
          <cell r="A39" t="str">
            <v>3.2.29. Übrige Gemeinden Kanton AG</v>
          </cell>
        </row>
        <row r="40">
          <cell r="A40" t="str">
            <v>3.9. ÜBRIGE GEMEINDEN</v>
          </cell>
        </row>
        <row r="41">
          <cell r="A41" t="str">
            <v>4 WERKE</v>
          </cell>
        </row>
        <row r="42">
          <cell r="A42" t="str">
            <v>4.1. WASSERVERSORGUNGEN</v>
          </cell>
        </row>
        <row r="43">
          <cell r="A43" t="str">
            <v>4.1.1. Industrielle Werke Basel (IWB)</v>
          </cell>
        </row>
        <row r="44">
          <cell r="A44" t="str">
            <v>4.1.2. Wasserwerk Reinach und Umgebung (WWR)</v>
          </cell>
        </row>
        <row r="45">
          <cell r="A45" t="str">
            <v>4.1.3. Wasserversorgung Zürich</v>
          </cell>
        </row>
        <row r="46">
          <cell r="A46" t="str">
            <v>4.1.9. Übrige Wasserversorgungen</v>
          </cell>
        </row>
        <row r="47">
          <cell r="A47" t="str">
            <v>4.2. ELEKTRIZITÄTSWERKE</v>
          </cell>
        </row>
        <row r="48">
          <cell r="A48" t="str">
            <v>4.2.1. Industrielle Werke Basel (IWB)</v>
          </cell>
        </row>
        <row r="49">
          <cell r="A49" t="str">
            <v>4.2.2. Elektra Birseck Münchenstein (EBM)</v>
          </cell>
        </row>
        <row r="50">
          <cell r="A50" t="str">
            <v>4.2.3. Elektra Baselland (EBL)</v>
          </cell>
        </row>
        <row r="51">
          <cell r="A51" t="str">
            <v>4.2.4. Elektra Sissach</v>
          </cell>
        </row>
        <row r="52">
          <cell r="A52" t="str">
            <v>4.2.8. Kraftwerk Birsfelden (KWB)</v>
          </cell>
        </row>
        <row r="53">
          <cell r="A53" t="str">
            <v>4.2.9. Übrige Elektrizitätswerke</v>
          </cell>
        </row>
        <row r="54">
          <cell r="A54" t="str">
            <v>4.3. FERNWÄRME</v>
          </cell>
        </row>
        <row r="55">
          <cell r="A55" t="str">
            <v>4.3.1. Industrielle Werke Basel (IWB)</v>
          </cell>
        </row>
        <row r="56">
          <cell r="A56" t="str">
            <v>4.3.2. Alternativenergie Birsfelden (AEB)</v>
          </cell>
        </row>
        <row r="57">
          <cell r="A57" t="str">
            <v>4.3.3. Entsorgung + Recycling Zürich, Abt. Fernwärme</v>
          </cell>
        </row>
        <row r="58">
          <cell r="A58" t="str">
            <v>4.4. ABWASSER</v>
          </cell>
        </row>
        <row r="59">
          <cell r="A59" t="str">
            <v>4.4.1. Amt für Industrielle Betriebe, Liestal (AIB)</v>
          </cell>
        </row>
        <row r="60">
          <cell r="A60" t="str">
            <v>4.4.2. Amt für Umwelt und Energie, Basel (AUE)</v>
          </cell>
        </row>
        <row r="61">
          <cell r="A61" t="str">
            <v>4.4.3. Entsorgung + Recycling Zürich, Abt. Stadtentwässerung</v>
          </cell>
        </row>
        <row r="62">
          <cell r="A62" t="str">
            <v>4.4.9. Übrige Abwasser</v>
          </cell>
        </row>
        <row r="63">
          <cell r="A63" t="str">
            <v>4.5. GAS</v>
          </cell>
        </row>
        <row r="64">
          <cell r="A64" t="str">
            <v>4.5.1. Industrielle Werke Basel (IWB)</v>
          </cell>
        </row>
        <row r="65">
          <cell r="A65" t="str">
            <v>4.5.9. Übrige Gas</v>
          </cell>
        </row>
        <row r="66">
          <cell r="A66" t="str">
            <v>4.9. ÜBRIGE WERKE</v>
          </cell>
        </row>
        <row r="67">
          <cell r="A67" t="str">
            <v>5 DIENSTLEISTUNGEN</v>
          </cell>
        </row>
        <row r="68">
          <cell r="A68" t="str">
            <v>5.1. BANKEN</v>
          </cell>
        </row>
        <row r="69">
          <cell r="A69" t="str">
            <v>5.1.1. Kantonalbank BS</v>
          </cell>
        </row>
        <row r="70">
          <cell r="A70" t="str">
            <v>5.1.2. Kantonalbank BL</v>
          </cell>
        </row>
        <row r="71">
          <cell r="A71" t="str">
            <v>5.1.3. UBS</v>
          </cell>
        </row>
        <row r="72">
          <cell r="A72" t="str">
            <v>5.1.4. Neue Aargauer Bank</v>
          </cell>
        </row>
        <row r="73">
          <cell r="A73" t="str">
            <v>5.1.6. Migros Bank, Basel</v>
          </cell>
        </row>
        <row r="74">
          <cell r="A74" t="str">
            <v>5.1.9. Übrige Banken</v>
          </cell>
        </row>
        <row r="75">
          <cell r="A75" t="str">
            <v>5.2. VERSICHERUNGEN</v>
          </cell>
        </row>
        <row r="76">
          <cell r="A76" t="str">
            <v>5.2.1. Zürich Versicherungen</v>
          </cell>
        </row>
        <row r="77">
          <cell r="A77" t="str">
            <v>5.2.2. Basler Versicherungen</v>
          </cell>
        </row>
        <row r="78">
          <cell r="A78" t="str">
            <v>5.2.3. Winterthur Versicherungen</v>
          </cell>
        </row>
        <row r="79">
          <cell r="A79" t="str">
            <v>5.2.9. Übrige Versicherungen</v>
          </cell>
        </row>
        <row r="80">
          <cell r="A80" t="str">
            <v>5.3. TREUHAND-, REVISIONSGESELLSCHAFTEN</v>
          </cell>
        </row>
        <row r="81">
          <cell r="A81" t="str">
            <v>5.3.1. PricewaterhouseCoopers (PWC)</v>
          </cell>
        </row>
        <row r="82">
          <cell r="A82" t="str">
            <v>5.3.9. Übrige Treuhand-, Revisionsgesellschaften</v>
          </cell>
        </row>
        <row r="83">
          <cell r="A83" t="str">
            <v>5.4. FERNMELDEBETRIEBE</v>
          </cell>
        </row>
        <row r="84">
          <cell r="A84" t="str">
            <v>5.4.1. Swisscom</v>
          </cell>
        </row>
        <row r="85">
          <cell r="A85" t="str">
            <v>5.4.2. Orange</v>
          </cell>
        </row>
        <row r="86">
          <cell r="A86" t="str">
            <v>5.4.9. Übrige Fernmeldebetriebe</v>
          </cell>
        </row>
        <row r="87">
          <cell r="A87" t="str">
            <v>5.5. MESSEN/MUSEEN/AUSSTELLUNGEN</v>
          </cell>
        </row>
        <row r="88">
          <cell r="A88" t="str">
            <v>5.5.1. Messe Basel</v>
          </cell>
        </row>
        <row r="89">
          <cell r="A89" t="str">
            <v>5.5.2. Zoologischer Garten</v>
          </cell>
        </row>
        <row r="90">
          <cell r="A90" t="str">
            <v>5.5.9. Übrige Messen/Museen/Ausstellungen</v>
          </cell>
        </row>
        <row r="91">
          <cell r="A91" t="str">
            <v>5.6. GENERALPLANER</v>
          </cell>
        </row>
        <row r="92">
          <cell r="A92" t="str">
            <v>5.9. ÜBRIGE DIENSTLEISTUNGEN</v>
          </cell>
        </row>
        <row r="93">
          <cell r="A93" t="str">
            <v>6 ÖFFENTLICHER VERKEHR</v>
          </cell>
        </row>
        <row r="94">
          <cell r="A94" t="str">
            <v>6.1. SBB</v>
          </cell>
        </row>
        <row r="95">
          <cell r="A95" t="str">
            <v>6.2. DB</v>
          </cell>
        </row>
        <row r="96">
          <cell r="A96" t="str">
            <v>6.3. BVB</v>
          </cell>
        </row>
        <row r="97">
          <cell r="A97" t="str">
            <v>6.4. BLT</v>
          </cell>
        </row>
        <row r="98">
          <cell r="A98" t="str">
            <v>6.5. EuroAirport</v>
          </cell>
        </row>
        <row r="99">
          <cell r="A99" t="str">
            <v>6.7 BLS</v>
          </cell>
        </row>
        <row r="100">
          <cell r="A100" t="str">
            <v>6.8. HBS Hafenbahn Schweiz</v>
          </cell>
        </row>
        <row r="101">
          <cell r="A101" t="str">
            <v>6.9. Übriger öffentlicher Verkehr</v>
          </cell>
        </row>
        <row r="102">
          <cell r="A102" t="str">
            <v>7 INDUSTRIE/HANDEL</v>
          </cell>
        </row>
        <row r="103">
          <cell r="A103" t="str">
            <v>7.1. HAFEN-, TREIBSTOFFGESELLSCHAFTEN</v>
          </cell>
        </row>
        <row r="104">
          <cell r="A104" t="str">
            <v>7.1.01. TAU Tanklager Auhafen</v>
          </cell>
        </row>
        <row r="105">
          <cell r="A105" t="str">
            <v>7.1.02. AVIA</v>
          </cell>
        </row>
        <row r="106">
          <cell r="A106" t="str">
            <v>7.1.03. Birs-Umschlag</v>
          </cell>
        </row>
        <row r="107">
          <cell r="A107" t="str">
            <v>7.1.04. Swissterminal</v>
          </cell>
        </row>
        <row r="108">
          <cell r="A108" t="str">
            <v>7.1.05. BP</v>
          </cell>
        </row>
        <row r="109">
          <cell r="A109" t="str">
            <v>7.1.06. Varo</v>
          </cell>
        </row>
        <row r="110">
          <cell r="A110" t="str">
            <v>7.1.07. SATRAM Huiles</v>
          </cell>
        </row>
        <row r="111">
          <cell r="A111" t="str">
            <v>7.1.08. Rhenus</v>
          </cell>
        </row>
        <row r="112">
          <cell r="A112" t="str">
            <v>7.1.09. Rhytank</v>
          </cell>
        </row>
        <row r="113">
          <cell r="A113" t="str">
            <v>7.1.10. Contargo</v>
          </cell>
        </row>
        <row r="114">
          <cell r="A114" t="str">
            <v>7.1.11. Ultra Brag</v>
          </cell>
        </row>
        <row r="115">
          <cell r="A115" t="str">
            <v>7.1.12. Grisard Bitumen</v>
          </cell>
        </row>
        <row r="116">
          <cell r="A116" t="str">
            <v>7.1.13. Landor</v>
          </cell>
        </row>
        <row r="117">
          <cell r="A117" t="str">
            <v>7.1.19. Übrige Hafen-, Treibstoffgesellschaften</v>
          </cell>
        </row>
        <row r="118">
          <cell r="A118" t="str">
            <v>7.2. CHEMIE</v>
          </cell>
        </row>
        <row r="119">
          <cell r="A119" t="str">
            <v>7.2.1. Ciba-Spezialitätenchemie</v>
          </cell>
        </row>
        <row r="120">
          <cell r="A120" t="str">
            <v>7.2.2. Novartis</v>
          </cell>
        </row>
        <row r="121">
          <cell r="A121" t="str">
            <v>7.2.3. Hoffmann-La Roche</v>
          </cell>
        </row>
        <row r="122">
          <cell r="A122" t="str">
            <v>7.2.4. Lonza</v>
          </cell>
        </row>
        <row r="123">
          <cell r="A123" t="str">
            <v>7.2.5. Chemische Fabrik Schweizerhall (CFS)</v>
          </cell>
        </row>
        <row r="124">
          <cell r="A124" t="str">
            <v>7.2.6. Vereinigte Schweizerische Rheinsalinen (VSR)</v>
          </cell>
        </row>
        <row r="125">
          <cell r="A125" t="str">
            <v>7.2.7. Clariant</v>
          </cell>
        </row>
        <row r="126">
          <cell r="A126" t="str">
            <v>7.2.9. Übrige Chemie</v>
          </cell>
        </row>
        <row r="127">
          <cell r="A127" t="str">
            <v>7.3. BAU-/GENERALUNTERNEHMER</v>
          </cell>
        </row>
        <row r="128">
          <cell r="A128" t="str">
            <v>7.3.1. Spaltenstein</v>
          </cell>
        </row>
        <row r="129">
          <cell r="A129" t="str">
            <v>7.3.2. Marti AG</v>
          </cell>
        </row>
        <row r="130">
          <cell r="A130" t="str">
            <v>7.3.3. Stamm AG</v>
          </cell>
        </row>
        <row r="131">
          <cell r="A131" t="str">
            <v>7.3.4. Meier + Jäggi AG</v>
          </cell>
        </row>
        <row r="132">
          <cell r="A132" t="str">
            <v>7.3.5. Batigroup</v>
          </cell>
        </row>
        <row r="133">
          <cell r="A133" t="str">
            <v>7.3.6. E. Frey AG</v>
          </cell>
        </row>
        <row r="134">
          <cell r="A134" t="str">
            <v>7.3.9. Übrige Bau-, Generalunternehmer</v>
          </cell>
        </row>
        <row r="135">
          <cell r="A135" t="str">
            <v>7.4. WARENHÄUSER/GROSSVERTEILER</v>
          </cell>
        </row>
        <row r="136">
          <cell r="A136" t="str">
            <v>7.4.1. Migros</v>
          </cell>
        </row>
        <row r="137">
          <cell r="A137" t="str">
            <v>7.4.2. Coop Schweiz</v>
          </cell>
        </row>
        <row r="138">
          <cell r="A138" t="str">
            <v>7.4.3. Globus</v>
          </cell>
        </row>
        <row r="139">
          <cell r="A139" t="str">
            <v>7.4.5. Manor</v>
          </cell>
        </row>
        <row r="140">
          <cell r="A140" t="str">
            <v>7.4.9. Übrige Warenhäuser/Grossverteiler</v>
          </cell>
        </row>
        <row r="141">
          <cell r="A141" t="str">
            <v>7.9. ÜBRIGE INDUSTRIE/HANDEL</v>
          </cell>
        </row>
        <row r="142">
          <cell r="A142" t="str">
            <v>7.9.1. Spaeter AG, Birsfelden</v>
          </cell>
        </row>
        <row r="143">
          <cell r="A143" t="str">
            <v>7.9.9. Übrige</v>
          </cell>
        </row>
        <row r="144">
          <cell r="A144" t="str">
            <v>8 ARCHITEKTEN</v>
          </cell>
        </row>
        <row r="145">
          <cell r="A145" t="str">
            <v>8.01. Ackermann &amp; Friedli</v>
          </cell>
        </row>
        <row r="146">
          <cell r="A146" t="str">
            <v>8.02. Arcoplan</v>
          </cell>
        </row>
        <row r="147">
          <cell r="A147" t="str">
            <v>8.03. Baader</v>
          </cell>
        </row>
        <row r="148">
          <cell r="A148" t="str">
            <v>8.04. Berger + Toffol</v>
          </cell>
        </row>
        <row r="149">
          <cell r="A149" t="str">
            <v>8.05. Blanckarts Zophoniasson + Partner AG, Basel</v>
          </cell>
        </row>
        <row r="150">
          <cell r="A150" t="str">
            <v>8.06. Blanckarts Zophoniasson + Partner AG, Weil</v>
          </cell>
        </row>
        <row r="151">
          <cell r="A151" t="str">
            <v>8.07. Brüderlin R.</v>
          </cell>
        </row>
        <row r="152">
          <cell r="A152" t="str">
            <v>8.08. Burckhardt + Partner</v>
          </cell>
        </row>
        <row r="153">
          <cell r="A153" t="str">
            <v>8.09. Bürgin Nissen Wentzlaff</v>
          </cell>
        </row>
        <row r="154">
          <cell r="A154" t="str">
            <v>8.10. Büttiker Urs</v>
          </cell>
        </row>
        <row r="155">
          <cell r="A155" t="str">
            <v>8.11. Chauvet, Dietschy, Rey, Lesage, Bartenheim</v>
          </cell>
        </row>
        <row r="156">
          <cell r="A156" t="str">
            <v>8.12. Diener + Diener</v>
          </cell>
        </row>
        <row r="157">
          <cell r="A157" t="str">
            <v>8.13. Dorenbach AG</v>
          </cell>
        </row>
        <row r="158">
          <cell r="A158" t="str">
            <v>8.14. Fasnacht R.</v>
          </cell>
        </row>
        <row r="159">
          <cell r="A159" t="str">
            <v>8.15. Furrer R.</v>
          </cell>
        </row>
        <row r="160">
          <cell r="A160" t="str">
            <v>8.16. Gass + Partner</v>
          </cell>
        </row>
        <row r="161">
          <cell r="A161" t="str">
            <v>8.17. Gürtler Architekten</v>
          </cell>
        </row>
        <row r="162">
          <cell r="A162" t="str">
            <v>8.18. G. Häuptle</v>
          </cell>
        </row>
        <row r="163">
          <cell r="A163" t="str">
            <v>8.19. Herzog &amp; de Meuron</v>
          </cell>
        </row>
        <row r="164">
          <cell r="A164" t="str">
            <v>8.20. Hotz Theo</v>
          </cell>
        </row>
        <row r="165">
          <cell r="A165" t="str">
            <v>8.21. Meyer R. + Schmidlin G.</v>
          </cell>
        </row>
        <row r="166">
          <cell r="A166" t="str">
            <v>8.22. Meyer S.</v>
          </cell>
        </row>
        <row r="167">
          <cell r="A167" t="str">
            <v>8.23. Morger M. &amp; Degelo H.</v>
          </cell>
        </row>
        <row r="168">
          <cell r="A168" t="str">
            <v>8.24. Oplatek J.</v>
          </cell>
        </row>
        <row r="169">
          <cell r="A169" t="str">
            <v>8.25. Otto + Partner</v>
          </cell>
        </row>
        <row r="170">
          <cell r="A170" t="str">
            <v>8.26. Ringger &amp; Zürcher</v>
          </cell>
        </row>
        <row r="171">
          <cell r="A171" t="str">
            <v>8.27. Ritter Giger Schmid</v>
          </cell>
        </row>
        <row r="172">
          <cell r="A172" t="str">
            <v>8.28. Schwarz Gutmann Pfister</v>
          </cell>
        </row>
        <row r="173">
          <cell r="A173" t="str">
            <v>8.29. Schwob + Sutter</v>
          </cell>
        </row>
        <row r="174">
          <cell r="A174" t="str">
            <v>8.30. Spycher Ernst</v>
          </cell>
        </row>
        <row r="175">
          <cell r="A175" t="str">
            <v>8.31. Stauffenegger W.</v>
          </cell>
        </row>
        <row r="176">
          <cell r="A176" t="str">
            <v>8.32. Suter + Suter Partner</v>
          </cell>
        </row>
        <row r="177">
          <cell r="A177" t="str">
            <v>8.33. Vischer Architekten</v>
          </cell>
        </row>
        <row r="178">
          <cell r="A178" t="str">
            <v>8.34. Wenk &amp; Bauer</v>
          </cell>
        </row>
        <row r="179">
          <cell r="A179" t="str">
            <v>8.35. Zwimpfer Partner</v>
          </cell>
        </row>
        <row r="180">
          <cell r="A180" t="str">
            <v>8.99. Übrige Architekten</v>
          </cell>
        </row>
        <row r="181">
          <cell r="A181" t="str">
            <v>9 DIVERSE</v>
          </cell>
        </row>
      </sheetData>
      <sheetData sheetId="5">
        <row r="1">
          <cell r="A1" t="str">
            <v>bitte auswählen…</v>
          </cell>
        </row>
        <row r="2">
          <cell r="A2" t="str">
            <v>A.B.BH. Bautenerhalt und Geomatik</v>
          </cell>
        </row>
        <row r="3">
          <cell r="A3" t="str">
            <v>A.B.IBB. Ingenieurbau und Bahnbau</v>
          </cell>
        </row>
        <row r="4">
          <cell r="A4" t="str">
            <v>A.B.PM. Projektmanagement und Generalplanung</v>
          </cell>
        </row>
        <row r="5">
          <cell r="A5" t="str">
            <v>A.B.T2AG. Niederlassung Möhlin</v>
          </cell>
        </row>
        <row r="6">
          <cell r="A6" t="str">
            <v>A.B.TB. Tiefbau</v>
          </cell>
        </row>
        <row r="7">
          <cell r="A7" t="str">
            <v>A.B.VK. Verkehr und Umwelt</v>
          </cell>
        </row>
        <row r="8">
          <cell r="A8" t="str">
            <v>A.B.ZD. Zentrale Dienste</v>
          </cell>
        </row>
      </sheetData>
      <sheetData sheetId="6">
        <row r="1">
          <cell r="A1" t="str">
            <v>bitte auswählen…</v>
          </cell>
        </row>
        <row r="2">
          <cell r="A2" t="str">
            <v>NV/P (nicht verrechenbar/pauschal)</v>
          </cell>
        </row>
        <row r="3">
          <cell r="A3" t="str">
            <v>Kanton BS 2013 (aktuell)</v>
          </cell>
        </row>
        <row r="4">
          <cell r="A4" t="str">
            <v>Kanton BL 2010 (aktuell)</v>
          </cell>
        </row>
        <row r="5">
          <cell r="A5" t="str">
            <v>S-0/0/0 (Auto-Km/Verm.-Bus/Reprorabatt)</v>
          </cell>
        </row>
        <row r="6">
          <cell r="A6" t="str">
            <v>S-60/150/0 (Auto-Km/Verm.-Bus/Reprorabatt)</v>
          </cell>
        </row>
        <row r="7">
          <cell r="A7" t="str">
            <v>S-60/170/0 (Auto-Km/Verm.-Bus/Reprorabatt)</v>
          </cell>
        </row>
        <row r="8">
          <cell r="A8" t="str">
            <v>S-0/0/50 (Auto-Km/Verm.-Bus/Reprorabatt)</v>
          </cell>
        </row>
        <row r="9">
          <cell r="A9" t="str">
            <v>gemäss Beilage</v>
          </cell>
        </row>
      </sheetData>
      <sheetData sheetId="7">
        <row r="1">
          <cell r="A1" t="str">
            <v>bitte auswählen…</v>
          </cell>
        </row>
        <row r="2">
          <cell r="A2" t="str">
            <v>monatlich</v>
          </cell>
        </row>
        <row r="3">
          <cell r="A3" t="str">
            <v>zweimonatlich</v>
          </cell>
        </row>
        <row r="4">
          <cell r="A4" t="str">
            <v>quartalsweise</v>
          </cell>
        </row>
        <row r="5">
          <cell r="A5" t="str">
            <v>halbjährlich</v>
          </cell>
        </row>
        <row r="6">
          <cell r="A6" t="str">
            <v>jährlich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>
    <tabColor rgb="FFFF0000"/>
    <pageSetUpPr fitToPage="1"/>
  </sheetPr>
  <dimension ref="A1:G180"/>
  <sheetViews>
    <sheetView showGridLines="0" tabSelected="1" zoomScale="115" zoomScaleNormal="115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5" customWidth="1"/>
    <col min="2" max="2" width="18" style="5" customWidth="1"/>
    <col min="3" max="3" width="11.42578125" style="20" customWidth="1"/>
    <col min="4" max="4" width="1.7109375" style="20" customWidth="1"/>
    <col min="5" max="5" width="11.42578125" style="20" customWidth="1"/>
    <col min="6" max="6" width="25.28515625" style="5" customWidth="1"/>
    <col min="7" max="7" width="11.42578125" style="4" hidden="1" customWidth="1"/>
    <col min="8" max="16384" width="11.42578125" style="5" hidden="1"/>
  </cols>
  <sheetData>
    <row r="1" spans="1:7" ht="21.95" customHeight="1" x14ac:dyDescent="0.2">
      <c r="A1" s="1" t="s">
        <v>0</v>
      </c>
      <c r="B1" s="2"/>
      <c r="C1" s="3"/>
      <c r="D1" s="3"/>
      <c r="E1" s="3"/>
      <c r="F1" s="2"/>
    </row>
    <row r="2" spans="1:7" s="9" customFormat="1" ht="15" customHeight="1" x14ac:dyDescent="0.25">
      <c r="A2" s="6" t="s">
        <v>1</v>
      </c>
      <c r="B2" s="6"/>
      <c r="C2" s="7"/>
      <c r="D2" s="7"/>
      <c r="E2" s="7"/>
      <c r="F2" s="6"/>
      <c r="G2" s="8"/>
    </row>
    <row r="3" spans="1:7" s="13" customFormat="1" ht="32.25" customHeight="1" x14ac:dyDescent="0.2">
      <c r="A3" s="10" t="s">
        <v>2</v>
      </c>
      <c r="B3" s="10"/>
      <c r="C3" s="11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11"/>
      <c r="E3" s="11"/>
      <c r="F3" s="11"/>
      <c r="G3" s="12"/>
    </row>
    <row r="4" spans="1:7" ht="12.75" customHeight="1" x14ac:dyDescent="0.2">
      <c r="A4" s="14" t="s">
        <v>3</v>
      </c>
      <c r="B4" s="14"/>
      <c r="C4" s="15">
        <v>9890</v>
      </c>
      <c r="D4" s="15"/>
      <c r="E4" s="15"/>
      <c r="F4" s="16"/>
    </row>
    <row r="5" spans="1:7" s="13" customFormat="1" ht="12.75" customHeight="1" x14ac:dyDescent="0.2">
      <c r="A5" s="5" t="s">
        <v>4</v>
      </c>
      <c r="B5" s="5"/>
      <c r="C5" s="17" t="s">
        <v>5</v>
      </c>
      <c r="D5" s="17"/>
      <c r="E5" s="17"/>
      <c r="F5" s="17"/>
      <c r="G5" s="12"/>
    </row>
    <row r="6" spans="1:7" ht="12.75" customHeight="1" x14ac:dyDescent="0.2">
      <c r="A6" s="14" t="s">
        <v>6</v>
      </c>
      <c r="B6" s="14"/>
      <c r="C6" s="17" t="s">
        <v>7</v>
      </c>
      <c r="D6" s="17"/>
      <c r="E6" s="17"/>
      <c r="F6" s="17"/>
    </row>
    <row r="7" spans="1:7" s="13" customFormat="1" ht="12.75" customHeight="1" x14ac:dyDescent="0.2">
      <c r="A7" s="14" t="s">
        <v>8</v>
      </c>
      <c r="B7" s="18" t="s">
        <v>9</v>
      </c>
      <c r="C7" s="19" t="s">
        <v>10</v>
      </c>
      <c r="D7" s="19"/>
      <c r="E7" s="19"/>
      <c r="F7" s="19"/>
      <c r="G7" s="12"/>
    </row>
    <row r="8" spans="1:7" ht="12.75" customHeight="1" x14ac:dyDescent="0.2">
      <c r="A8" s="14" t="s">
        <v>11</v>
      </c>
      <c r="B8" s="14"/>
      <c r="C8" s="19" t="s">
        <v>12</v>
      </c>
      <c r="D8" s="19"/>
      <c r="E8" s="19"/>
      <c r="F8" s="19"/>
    </row>
    <row r="9" spans="1:7" ht="3.95" customHeight="1" x14ac:dyDescent="0.2"/>
    <row r="10" spans="1:7" ht="12.75" customHeight="1" x14ac:dyDescent="0.2">
      <c r="A10" s="5" t="s">
        <v>13</v>
      </c>
      <c r="C10" s="21">
        <v>43313</v>
      </c>
      <c r="D10" s="22" t="s">
        <v>14</v>
      </c>
      <c r="E10" s="21">
        <v>44926</v>
      </c>
    </row>
    <row r="11" spans="1:7" s="23" customFormat="1" ht="3.95" customHeight="1" x14ac:dyDescent="0.2">
      <c r="D11"/>
      <c r="G11" s="24"/>
    </row>
    <row r="12" spans="1:7" ht="12.75" customHeight="1" x14ac:dyDescent="0.2">
      <c r="A12" s="5" t="s">
        <v>15</v>
      </c>
      <c r="C12" s="25" t="s">
        <v>16</v>
      </c>
      <c r="D12" s="22" t="s">
        <v>14</v>
      </c>
      <c r="E12" s="25" t="s">
        <v>17</v>
      </c>
    </row>
    <row r="13" spans="1:7" ht="3.95" customHeight="1" x14ac:dyDescent="0.2"/>
    <row r="14" spans="1:7" ht="12.75" customHeight="1" x14ac:dyDescent="0.2">
      <c r="A14" s="5" t="s">
        <v>18</v>
      </c>
      <c r="B14" s="5" t="s">
        <v>19</v>
      </c>
      <c r="C14" s="19" t="s">
        <v>20</v>
      </c>
      <c r="D14" s="19"/>
      <c r="E14" s="19"/>
      <c r="F14" s="19"/>
    </row>
    <row r="15" spans="1:7" ht="12.75" customHeight="1" x14ac:dyDescent="0.2">
      <c r="B15" s="5" t="s">
        <v>21</v>
      </c>
      <c r="C15" s="19" t="s">
        <v>22</v>
      </c>
      <c r="D15" s="19"/>
      <c r="E15" s="19"/>
      <c r="F15" s="19"/>
    </row>
    <row r="16" spans="1:7" ht="12.75" customHeight="1" x14ac:dyDescent="0.2">
      <c r="B16" s="5" t="s">
        <v>23</v>
      </c>
      <c r="C16" s="19" t="s">
        <v>24</v>
      </c>
      <c r="D16" s="19"/>
      <c r="E16" s="19"/>
      <c r="F16" s="19"/>
    </row>
    <row r="17" spans="1:7" ht="12.75" customHeight="1" x14ac:dyDescent="0.2">
      <c r="B17" s="5" t="s">
        <v>25</v>
      </c>
      <c r="C17" s="19"/>
      <c r="D17" s="19"/>
      <c r="E17" s="19"/>
      <c r="F17" s="19"/>
    </row>
    <row r="18" spans="1:7" ht="12.75" customHeight="1" x14ac:dyDescent="0.2">
      <c r="B18" s="5" t="s">
        <v>26</v>
      </c>
      <c r="C18" s="19" t="s">
        <v>27</v>
      </c>
      <c r="D18" s="19"/>
      <c r="E18" s="19"/>
      <c r="F18" s="19"/>
    </row>
    <row r="19" spans="1:7" s="23" customFormat="1" ht="3.95" customHeight="1" x14ac:dyDescent="0.2">
      <c r="G19" s="24"/>
    </row>
    <row r="20" spans="1:7" x14ac:dyDescent="0.2">
      <c r="A20" s="5" t="s">
        <v>28</v>
      </c>
      <c r="G20" s="4" t="b">
        <v>0</v>
      </c>
    </row>
    <row r="21" spans="1:7" ht="12.75" customHeight="1" x14ac:dyDescent="0.2">
      <c r="A21" s="5" t="s">
        <v>29</v>
      </c>
      <c r="B21" s="5" t="s">
        <v>19</v>
      </c>
      <c r="C21" s="19" t="s">
        <v>30</v>
      </c>
      <c r="D21" s="19"/>
      <c r="E21" s="19"/>
      <c r="F21" s="19"/>
    </row>
    <row r="22" spans="1:7" ht="12.75" customHeight="1" x14ac:dyDescent="0.2">
      <c r="B22" s="5" t="s">
        <v>31</v>
      </c>
      <c r="C22" s="19" t="s">
        <v>32</v>
      </c>
      <c r="D22" s="19"/>
      <c r="E22" s="19"/>
      <c r="F22" s="19"/>
    </row>
    <row r="23" spans="1:7" ht="12.75" customHeight="1" x14ac:dyDescent="0.2">
      <c r="B23" s="5" t="s">
        <v>23</v>
      </c>
      <c r="C23" s="19" t="s">
        <v>33</v>
      </c>
      <c r="D23" s="19"/>
      <c r="E23" s="19"/>
      <c r="F23" s="19"/>
    </row>
    <row r="24" spans="1:7" ht="12.75" customHeight="1" x14ac:dyDescent="0.2">
      <c r="B24" s="5" t="s">
        <v>25</v>
      </c>
      <c r="C24" s="19"/>
      <c r="D24" s="19"/>
      <c r="E24" s="19"/>
      <c r="F24" s="19"/>
    </row>
    <row r="25" spans="1:7" ht="12.75" customHeight="1" x14ac:dyDescent="0.2">
      <c r="B25" s="5" t="s">
        <v>26</v>
      </c>
      <c r="C25" s="19" t="s">
        <v>34</v>
      </c>
      <c r="D25" s="19"/>
      <c r="E25" s="19"/>
      <c r="F25" s="19"/>
    </row>
    <row r="26" spans="1:7" ht="3.95" customHeight="1" x14ac:dyDescent="0.2"/>
    <row r="27" spans="1:7" s="9" customFormat="1" ht="15" customHeight="1" x14ac:dyDescent="0.25">
      <c r="A27" s="6" t="s">
        <v>35</v>
      </c>
      <c r="B27" s="6"/>
      <c r="C27" s="7"/>
      <c r="D27" s="7"/>
      <c r="E27" s="7"/>
      <c r="F27" s="6"/>
      <c r="G27" s="8"/>
    </row>
    <row r="28" spans="1:7" s="23" customFormat="1" ht="3.95" customHeight="1" x14ac:dyDescent="0.2">
      <c r="G28" s="24"/>
    </row>
    <row r="29" spans="1:7" ht="12.75" customHeight="1" x14ac:dyDescent="0.2">
      <c r="A29" s="26" t="s">
        <v>36</v>
      </c>
      <c r="B29" s="26"/>
      <c r="C29" s="27">
        <v>430</v>
      </c>
      <c r="D29"/>
      <c r="E29" s="28" t="s">
        <v>37</v>
      </c>
      <c r="F29" s="28"/>
    </row>
    <row r="30" spans="1:7" s="23" customFormat="1" ht="3.95" customHeight="1" x14ac:dyDescent="0.2">
      <c r="G30" s="24"/>
    </row>
    <row r="31" spans="1:7" ht="12.75" customHeight="1" x14ac:dyDescent="0.2">
      <c r="A31" s="5" t="s">
        <v>38</v>
      </c>
      <c r="C31" s="19" t="s">
        <v>39</v>
      </c>
      <c r="D31" s="19"/>
      <c r="E31" s="19"/>
      <c r="F31" s="19"/>
    </row>
    <row r="32" spans="1:7" s="23" customFormat="1" ht="3.95" customHeight="1" x14ac:dyDescent="0.2">
      <c r="G32" s="24"/>
    </row>
    <row r="33" spans="1:7" ht="12.75" customHeight="1" x14ac:dyDescent="0.2">
      <c r="A33" s="5" t="s">
        <v>40</v>
      </c>
      <c r="C33" s="19" t="s">
        <v>41</v>
      </c>
      <c r="D33" s="19"/>
      <c r="E33" s="19"/>
      <c r="F33" s="19"/>
    </row>
    <row r="34" spans="1:7" s="23" customFormat="1" ht="3.95" customHeight="1" x14ac:dyDescent="0.2">
      <c r="G34" s="24"/>
    </row>
    <row r="35" spans="1:7" ht="12.75" customHeight="1" x14ac:dyDescent="0.2">
      <c r="A35" s="5" t="s">
        <v>42</v>
      </c>
      <c r="C35" s="19" t="s">
        <v>43</v>
      </c>
      <c r="D35" s="19"/>
      <c r="E35" s="19"/>
      <c r="F35" s="19"/>
    </row>
    <row r="36" spans="1:7" ht="3.95" customHeight="1" x14ac:dyDescent="0.2"/>
    <row r="37" spans="1:7" s="23" customFormat="1" ht="12.75" customHeight="1" x14ac:dyDescent="0.2">
      <c r="A37" s="5" t="s">
        <v>44</v>
      </c>
      <c r="B37" s="5"/>
      <c r="C37" s="21">
        <v>43418</v>
      </c>
      <c r="D37" s="22" t="s">
        <v>14</v>
      </c>
      <c r="E37" s="29" t="s">
        <v>45</v>
      </c>
      <c r="F37" s="29"/>
      <c r="G37" s="24"/>
    </row>
    <row r="38" spans="1:7" ht="3.95" customHeight="1" x14ac:dyDescent="0.2"/>
    <row r="39" spans="1:7" ht="12.75" customHeight="1" x14ac:dyDescent="0.2">
      <c r="A39" s="5" t="s">
        <v>46</v>
      </c>
      <c r="C39" s="19" t="s">
        <v>22</v>
      </c>
      <c r="D39" s="19"/>
      <c r="E39" s="19"/>
      <c r="F39" s="19"/>
    </row>
    <row r="40" spans="1:7" ht="3.95" customHeight="1" x14ac:dyDescent="0.2"/>
    <row r="41" spans="1:7" ht="12.75" customHeight="1" x14ac:dyDescent="0.2">
      <c r="A41" s="5" t="s">
        <v>47</v>
      </c>
      <c r="G41" s="4">
        <v>1</v>
      </c>
    </row>
    <row r="42" spans="1:7" ht="3.95" customHeight="1" x14ac:dyDescent="0.2"/>
    <row r="43" spans="1:7" ht="12.75" customHeight="1" x14ac:dyDescent="0.2">
      <c r="A43" s="5" t="s">
        <v>48</v>
      </c>
      <c r="F43" s="30"/>
      <c r="G43" s="4" t="b">
        <v>0</v>
      </c>
    </row>
    <row r="44" spans="1:7" ht="3.95" customHeight="1" x14ac:dyDescent="0.2"/>
    <row r="45" spans="1:7" ht="12.75" customHeight="1" x14ac:dyDescent="0.2">
      <c r="A45" s="5" t="s">
        <v>49</v>
      </c>
      <c r="C45" s="31" t="s">
        <v>50</v>
      </c>
      <c r="F45" s="24"/>
      <c r="G45" s="4" t="b">
        <v>0</v>
      </c>
    </row>
    <row r="46" spans="1:7" ht="3.95" customHeight="1" x14ac:dyDescent="0.2"/>
    <row r="47" spans="1:7" ht="12.75" customHeight="1" x14ac:dyDescent="0.2">
      <c r="A47" s="5" t="s">
        <v>51</v>
      </c>
      <c r="F47" s="30"/>
      <c r="G47" s="4" t="b">
        <v>0</v>
      </c>
    </row>
    <row r="48" spans="1:7" ht="3.95" customHeight="1" x14ac:dyDescent="0.2"/>
    <row r="49" spans="1:7" ht="24" customHeight="1" x14ac:dyDescent="0.2">
      <c r="A49" s="32" t="s">
        <v>52</v>
      </c>
      <c r="B49" s="32"/>
      <c r="G49" s="4">
        <v>10</v>
      </c>
    </row>
    <row r="50" spans="1:7" ht="3.95" customHeight="1" x14ac:dyDescent="0.2"/>
    <row r="51" spans="1:7" ht="12.75" customHeight="1" x14ac:dyDescent="0.2">
      <c r="A51" s="5" t="s">
        <v>53</v>
      </c>
      <c r="C51" s="5"/>
      <c r="D51" s="5"/>
      <c r="E51" s="5"/>
    </row>
    <row r="52" spans="1:7" ht="3.95" customHeight="1" x14ac:dyDescent="0.2">
      <c r="B52" s="33"/>
      <c r="C52" s="34"/>
      <c r="D52" s="34"/>
      <c r="E52" s="34"/>
      <c r="F52" s="34"/>
    </row>
    <row r="53" spans="1:7" s="23" customFormat="1" ht="12.75" customHeight="1" x14ac:dyDescent="0.2">
      <c r="A53" s="5" t="s">
        <v>54</v>
      </c>
      <c r="E53" s="19" t="s">
        <v>55</v>
      </c>
      <c r="F53" s="19"/>
      <c r="G53" s="24">
        <v>1</v>
      </c>
    </row>
    <row r="54" spans="1:7" s="23" customFormat="1" ht="3.95" customHeight="1" x14ac:dyDescent="0.2">
      <c r="G54" s="24"/>
    </row>
    <row r="55" spans="1:7" ht="12.75" customHeight="1" x14ac:dyDescent="0.2"/>
    <row r="56" spans="1:7" s="23" customFormat="1" ht="3.95" customHeight="1" x14ac:dyDescent="0.2">
      <c r="G56" s="24"/>
    </row>
    <row r="57" spans="1:7" ht="12.75" customHeight="1" x14ac:dyDescent="0.2">
      <c r="A57" s="5" t="s">
        <v>56</v>
      </c>
      <c r="C57" s="35">
        <v>0</v>
      </c>
      <c r="D57"/>
      <c r="E57"/>
    </row>
    <row r="58" spans="1:7" ht="3.95" customHeight="1" x14ac:dyDescent="0.2"/>
    <row r="59" spans="1:7" s="9" customFormat="1" ht="15" customHeight="1" x14ac:dyDescent="0.25">
      <c r="A59" s="6" t="s">
        <v>57</v>
      </c>
      <c r="B59" s="6"/>
      <c r="C59" s="7"/>
      <c r="D59" s="7"/>
      <c r="E59" s="7"/>
      <c r="F59" s="6"/>
      <c r="G59" s="8"/>
    </row>
    <row r="60" spans="1:7" ht="3.95" customHeight="1" x14ac:dyDescent="0.2"/>
    <row r="61" spans="1:7" x14ac:dyDescent="0.2">
      <c r="A61" s="5" t="s">
        <v>58</v>
      </c>
      <c r="C61" s="5"/>
      <c r="D61" s="5"/>
      <c r="E61" s="5"/>
      <c r="G61" s="4">
        <v>1</v>
      </c>
    </row>
    <row r="62" spans="1:7" ht="3.95" customHeight="1" x14ac:dyDescent="0.2"/>
    <row r="63" spans="1:7" x14ac:dyDescent="0.2">
      <c r="A63" s="5" t="s">
        <v>59</v>
      </c>
      <c r="B63" s="33"/>
      <c r="C63" s="36"/>
      <c r="D63" s="36"/>
      <c r="E63" s="36"/>
      <c r="F63" s="37"/>
    </row>
    <row r="64" spans="1:7" ht="3.95" customHeight="1" x14ac:dyDescent="0.2"/>
    <row r="65" spans="1:7" x14ac:dyDescent="0.2">
      <c r="A65" s="5" t="s">
        <v>60</v>
      </c>
      <c r="C65" s="19" t="s">
        <v>61</v>
      </c>
      <c r="D65" s="19"/>
      <c r="E65" s="19"/>
      <c r="F65" s="19"/>
    </row>
    <row r="66" spans="1:7" x14ac:dyDescent="0.2">
      <c r="A66" s="5" t="s">
        <v>62</v>
      </c>
      <c r="C66" s="17" t="s">
        <v>63</v>
      </c>
      <c r="D66" s="17"/>
      <c r="E66" s="17"/>
      <c r="F66" s="17"/>
    </row>
    <row r="67" spans="1:7" ht="3.95" customHeight="1" x14ac:dyDescent="0.2"/>
    <row r="68" spans="1:7" ht="12.6" customHeight="1" x14ac:dyDescent="0.2">
      <c r="A68" s="38" t="s">
        <v>64</v>
      </c>
      <c r="E68" s="39"/>
      <c r="F68" s="39"/>
      <c r="G68" s="4">
        <v>1</v>
      </c>
    </row>
    <row r="69" spans="1:7" x14ac:dyDescent="0.2"/>
    <row r="70" spans="1:7" s="9" customFormat="1" ht="15" customHeight="1" x14ac:dyDescent="0.25">
      <c r="A70" s="6" t="s">
        <v>65</v>
      </c>
      <c r="B70" s="6"/>
      <c r="C70" s="7"/>
      <c r="D70" s="7"/>
      <c r="E70" s="7"/>
      <c r="F70" s="6"/>
      <c r="G70" s="8"/>
    </row>
    <row r="71" spans="1:7" ht="3.95" customHeight="1" x14ac:dyDescent="0.2"/>
    <row r="72" spans="1:7" x14ac:dyDescent="0.2">
      <c r="A72" s="5" t="s">
        <v>66</v>
      </c>
      <c r="B72" s="5" t="s">
        <v>67</v>
      </c>
      <c r="C72" s="40">
        <v>0</v>
      </c>
      <c r="D72"/>
      <c r="E72" s="5" t="s">
        <v>68</v>
      </c>
    </row>
    <row r="73" spans="1:7" ht="13.9" customHeight="1" x14ac:dyDescent="0.2">
      <c r="B73" s="5" t="s">
        <v>69</v>
      </c>
      <c r="C73" s="40">
        <v>0</v>
      </c>
      <c r="D73"/>
      <c r="E73" s="5" t="s">
        <v>70</v>
      </c>
    </row>
    <row r="74" spans="1:7" x14ac:dyDescent="0.2">
      <c r="B74" s="5" t="s">
        <v>71</v>
      </c>
      <c r="C74" s="40">
        <v>0</v>
      </c>
      <c r="D74"/>
      <c r="E74" s="5" t="s">
        <v>68</v>
      </c>
    </row>
    <row r="75" spans="1:7" s="23" customFormat="1" ht="3.95" customHeight="1" x14ac:dyDescent="0.2">
      <c r="G75" s="24"/>
    </row>
    <row r="76" spans="1:7" s="42" customFormat="1" ht="15" customHeight="1" x14ac:dyDescent="0.2">
      <c r="A76" s="41" t="s">
        <v>72</v>
      </c>
      <c r="G76" s="43"/>
    </row>
    <row r="77" spans="1:7" ht="3.95" customHeight="1" x14ac:dyDescent="0.2">
      <c r="A77" s="44"/>
      <c r="B77" s="44"/>
      <c r="C77" s="45"/>
      <c r="D77" s="45"/>
      <c r="E77" s="45"/>
      <c r="F77" s="44"/>
    </row>
    <row r="78" spans="1:7" x14ac:dyDescent="0.2">
      <c r="A78" s="46" t="s">
        <v>73</v>
      </c>
      <c r="B78" s="47"/>
      <c r="C78" s="48"/>
      <c r="D78" s="48"/>
      <c r="E78" s="48"/>
      <c r="F78" s="47"/>
    </row>
    <row r="79" spans="1:7" x14ac:dyDescent="0.2">
      <c r="A79" s="49" t="str">
        <f>IF($G47=FALSE,"",TEXT($C$4,"0000")&amp;TEXT($C$29,"000"))</f>
        <v/>
      </c>
      <c r="B79" s="47"/>
      <c r="C79" s="48"/>
      <c r="D79" s="48"/>
      <c r="E79" s="48"/>
      <c r="F79" s="47"/>
    </row>
    <row r="80" spans="1:7" x14ac:dyDescent="0.2">
      <c r="A80" s="46" t="s">
        <v>74</v>
      </c>
      <c r="B80" s="47"/>
      <c r="C80" s="48"/>
      <c r="D80" s="48"/>
      <c r="E80" s="48"/>
      <c r="F80" s="47"/>
    </row>
    <row r="81" spans="1:6" x14ac:dyDescent="0.2">
      <c r="A81" s="49" t="str">
        <f>IF($G47=FALSE,"",TEXT($C$6&amp;", "&amp;$C$7&amp;", "&amp;$E$29,))</f>
        <v/>
      </c>
      <c r="B81" s="47"/>
      <c r="C81" s="48"/>
      <c r="D81" s="48"/>
      <c r="E81" s="48"/>
      <c r="F81" s="47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14:F14"/>
    <mergeCell ref="C15:F15"/>
    <mergeCell ref="C16:F16"/>
    <mergeCell ref="C17:F17"/>
    <mergeCell ref="C18:F18"/>
    <mergeCell ref="C21:F21"/>
    <mergeCell ref="C3:F3"/>
    <mergeCell ref="C4:F4"/>
    <mergeCell ref="C5:F5"/>
    <mergeCell ref="C6:F6"/>
    <mergeCell ref="C7:F7"/>
    <mergeCell ref="C8:F8"/>
  </mergeCells>
  <conditionalFormatting sqref="B21:F25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.Index 430</vt:lpstr>
      <vt:lpstr>'.Index 430'!Druckbereich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Noelle</dc:creator>
  <cp:lastModifiedBy>Martin Noelle</cp:lastModifiedBy>
  <dcterms:created xsi:type="dcterms:W3CDTF">2021-10-08T13:31:55Z</dcterms:created>
  <dcterms:modified xsi:type="dcterms:W3CDTF">2021-10-08T13:32:26Z</dcterms:modified>
</cp:coreProperties>
</file>