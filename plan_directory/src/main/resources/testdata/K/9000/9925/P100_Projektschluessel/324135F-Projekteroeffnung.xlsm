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4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5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1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918b7bf4c0552c2/03_FHNW/4. Semester/WebCodeKitchen/code_kitchen/plan_directory/src/main/resources/testdata/K/9000/9925/P100_Projektschluessel/"/>
    </mc:Choice>
  </mc:AlternateContent>
  <xr:revisionPtr revIDLastSave="5" documentId="11_64CCBF9A22F6350634E128C34F3ACE5ADF18CC49" xr6:coauthVersionLast="47" xr6:coauthVersionMax="47" xr10:uidLastSave="{01EBAFF4-FA5A-5B4A-B862-BC741FD24EFB}"/>
  <bookViews>
    <workbookView xWindow="0" yWindow="740" windowWidth="29400" windowHeight="18380" activeTab="7" xr2:uid="{00000000-000D-0000-FFFF-FFFF00000000}"/>
  </bookViews>
  <sheets>
    <sheet name=".Index100" sheetId="14" r:id="rId1"/>
    <sheet name=".Index200" sheetId="13" r:id="rId2"/>
    <sheet name=".Index300" sheetId="12" r:id="rId3"/>
    <sheet name=".Index400" sheetId="11" r:id="rId4"/>
    <sheet name=".Index500" sheetId="10" r:id="rId5"/>
    <sheet name=".Index600" sheetId="9" r:id="rId6"/>
    <sheet name=".Index700" sheetId="8" r:id="rId7"/>
    <sheet name=".Index999" sheetId="1" r:id="rId8"/>
    <sheet name="Gebiet" sheetId="3" r:id="rId9"/>
    <sheet name="Bereich" sheetId="2" r:id="rId10"/>
    <sheet name="Branche" sheetId="4" r:id="rId11"/>
    <sheet name="Organisation" sheetId="5" r:id="rId12"/>
    <sheet name="NK-Tarifkat" sheetId="6" r:id="rId13"/>
    <sheet name="RG-Ausloesung" sheetId="7" r:id="rId14"/>
  </sheets>
  <definedNames>
    <definedName name="Bereich">Bereich!$A$1:$A$95</definedName>
    <definedName name="Branche">Branche!$A$1:$A$182</definedName>
    <definedName name="_xlnm.Print_Area" localSheetId="0">'.Index100'!$A$1:$F$77</definedName>
    <definedName name="_xlnm.Print_Area" localSheetId="1">'.Index200'!$A$1:$F$77</definedName>
    <definedName name="_xlnm.Print_Area" localSheetId="2">'.Index300'!$A$1:$F$77</definedName>
    <definedName name="_xlnm.Print_Area" localSheetId="3">'.Index400'!$A$1:$F$77</definedName>
    <definedName name="_xlnm.Print_Area" localSheetId="4">'.Index500'!$A$1:$F$77</definedName>
    <definedName name="_xlnm.Print_Area" localSheetId="5">'.Index600'!$A$1:$F$77</definedName>
    <definedName name="_xlnm.Print_Area" localSheetId="6">'.Index700'!$A$1:$F$77</definedName>
    <definedName name="_xlnm.Print_Area" localSheetId="7">'.Index999'!$A$1:$F$77</definedName>
    <definedName name="Gebiet">Gebiet!$A$1:$A$22</definedName>
    <definedName name="NKTarifkat">'NK-Tarifkat'!$A$1:$A$10</definedName>
    <definedName name="Organisationseinheit" localSheetId="12">'NK-Tarifkat'!$A$1:$A$10</definedName>
    <definedName name="Organisationseinheit">Organisation!$A$1:$A$9</definedName>
    <definedName name="RG_Ausloesung">'RG-Ausloesung'!$A$1:$A$6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1" i="14" l="1"/>
  <c r="A79" i="14"/>
  <c r="C3" i="14"/>
  <c r="A81" i="13"/>
  <c r="A79" i="13"/>
  <c r="C3" i="13"/>
  <c r="A81" i="12"/>
  <c r="A79" i="12"/>
  <c r="C3" i="12"/>
  <c r="A81" i="11"/>
  <c r="A79" i="11"/>
  <c r="C3" i="11"/>
  <c r="A81" i="10"/>
  <c r="A79" i="10"/>
  <c r="C3" i="10"/>
  <c r="A81" i="9"/>
  <c r="A79" i="9"/>
  <c r="C3" i="9"/>
  <c r="A81" i="8"/>
  <c r="A79" i="8"/>
  <c r="C3" i="8"/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<sst xmlns="http://schemas.openxmlformats.org/spreadsheetml/2006/main" count="1312" uniqueCount="670">
  <si>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</si>
  <si>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</si>
  <si>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</si>
  <si>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</si>
  <si>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</si>
  <si>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</si>
  <si>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</si>
  <si>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</si>
  <si>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</si>
  <si>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</si>
  <si>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</si>
  <si>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</si>
  <si>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</si>
  <si>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</si>
  <si>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</si>
  <si>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</si>
  <si>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</si>
  <si>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</si>
  <si>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</si>
  <si>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</si>
  <si>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</si>
  <si>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</si>
  <si>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</si>
  <si>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</si>
  <si>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</si>
  <si>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</si>
  <si>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</si>
  <si>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</si>
  <si>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</si>
  <si>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</si>
  <si>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</si>
  <si>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</si>
  <si>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</si>
  <si>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</si>
  <si>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</si>
  <si>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</si>
  <si>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</si>
  <si>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</si>
  <si>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</si>
  <si>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</si>
  <si>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</si>
  <si>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</si>
  <si>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</si>
  <si>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</si>
  <si>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</si>
  <si>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</si>
  <si>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</si>
  <si>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</si>
  <si>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</si>
  <si>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</si>
  <si>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</si>
  <si>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</si>
  <si>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</si>
  <si>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</si>
  <si>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</si>
  <si>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</si>
  <si>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</si>
  <si>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</si>
  <si>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</si>
  <si>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</si>
  <si>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</si>
  <si>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</si>
  <si>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</si>
  <si>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</si>
  <si>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</si>
  <si>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</si>
  <si>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</si>
  <si>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</si>
  <si>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</si>
  <si>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</si>
  <si>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</si>
  <si>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</si>
  <si>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</si>
  <si>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</si>
  <si>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</si>
  <si>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</si>
  <si>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</si>
  <si>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</si>
  <si>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</si>
  <si>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</si>
  <si>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</si>
  <si>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</si>
  <si>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</si>
  <si>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</si>
  <si>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</si>
  <si>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</si>
  <si>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</si>
  <si>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</si>
  <si>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</si>
  <si>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</si>
  <si>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</si>
  <si>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</si>
  <si>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</si>
  <si>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</si>
  <si>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</si>
  <si>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</si>
  <si>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</si>
  <si>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</si>
  <si>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</si>
  <si>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</si>
  <si>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</si>
  <si>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</si>
  <si>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</si>
  <si>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</si>
  <si>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</si>
  <si>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</si>
  <si>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</si>
  <si>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</si>
  <si>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</si>
  <si>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</si>
  <si>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</si>
  <si>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</si>
  <si>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</si>
  <si>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</si>
  <si>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</si>
  <si>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</si>
  <si>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</si>
  <si>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</si>
  <si>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</si>
  <si>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</si>
  <si>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</si>
  <si>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</si>
  <si>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</si>
  <si>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</si>
  <si>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</si>
  <si>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</si>
  <si>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</si>
  <si>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</si>
  <si>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</si>
  <si>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</si>
  <si>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</si>
  <si>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</si>
  <si>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</si>
  <si>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</si>
  <si>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</si>
  <si>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</si>
  <si>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</si>
  <si>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</si>
  <si>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</si>
  <si>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</si>
  <si>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</si>
  <si>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</si>
  <si>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</si>
  <si>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</si>
  <si>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</si>
  <si>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</si>
  <si>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</si>
  <si>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</si>
  <si>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</si>
  <si>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</si>
  <si>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</si>
  <si>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</si>
  <si>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</si>
  <si>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</si>
  <si>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</si>
  <si>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</si>
  <si>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</si>
  <si>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</si>
  <si>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</si>
  <si>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</si>
  <si>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</si>
  <si>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</si>
  <si>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</si>
  <si>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</si>
  <si>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</si>
  <si>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</si>
  <si>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</si>
  <si>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</si>
  <si>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</si>
  <si>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</si>
  <si>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</si>
  <si>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</si>
  <si>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</si>
  <si>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</si>
  <si>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</si>
  <si>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</si>
  <si>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</si>
  <si>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</si>
  <si>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</si>
  <si>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</si>
  <si>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</si>
  <si>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</si>
  <si>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</si>
  <si>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</si>
  <si>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</si>
  <si>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</si>
  <si>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</si>
  <si>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</si>
  <si>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</si>
  <si>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</si>
  <si>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</si>
  <si>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</si>
  <si>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</si>
  <si>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</si>
  <si>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</si>
  <si>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</si>
  <si>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</si>
  <si>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</si>
  <si>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</si>
  <si>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</si>
  <si>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</si>
  <si>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</si>
  <si>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</si>
  <si>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</si>
  <si>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</si>
  <si>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</si>
  <si>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</si>
  <si>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</si>
  <si>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</si>
  <si>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</si>
  <si>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</si>
  <si>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</si>
  <si>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</si>
  <si>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</si>
  <si>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</si>
  <si>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</si>
  <si>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</si>
  <si>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</si>
  <si>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</si>
  <si>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</si>
  <si>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</si>
  <si>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</si>
  <si>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</si>
  <si>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</si>
  <si>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</si>
  <si>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</si>
  <si>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</si>
  <si>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</si>
  <si>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</si>
  <si>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</si>
  <si>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</si>
  <si>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</si>
  <si>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</si>
  <si>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</si>
  <si>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</si>
  <si>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</si>
  <si>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</si>
  <si>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</si>
  <si>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</si>
  <si>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</si>
  <si>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</si>
  <si>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</si>
  <si>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</si>
  <si>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</si>
  <si>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</si>
  <si>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</si>
  <si>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</si>
  <si>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</si>
  <si>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</si>
  <si>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</si>
  <si>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</si>
  <si>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</si>
  <si>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</si>
  <si>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</si>
  <si>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</si>
  <si>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</si>
  <si>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</si>
  <si>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</si>
  <si>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</si>
  <si>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</si>
  <si>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</si>
  <si>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</si>
  <si>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</si>
  <si>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</si>
  <si>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</si>
  <si>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</si>
  <si>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</si>
  <si>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</si>
  <si>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</si>
  <si>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</si>
  <si>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</si>
  <si>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</si>
  <si>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</si>
  <si>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</si>
  <si>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</si>
  <si>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</si>
  <si>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</si>
  <si>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</si>
  <si>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</si>
  <si>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</si>
  <si>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</si>
  <si>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</si>
  <si>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</si>
  <si>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</si>
  <si>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</si>
  <si>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</si>
  <si>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</si>
  <si>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</si>
  <si>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</si>
  <si>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</si>
  <si>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</si>
  <si>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</si>
  <si>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</si>
  <si>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</si>
  <si>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</si>
  <si>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</si>
  <si>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</si>
  <si>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</si>
  <si>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</si>
  <si>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</si>
  <si>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</si>
  <si>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</si>
  <si>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</si>
  <si>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</si>
  <si>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</si>
  <si>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</si>
  <si>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</si>
  <si>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</si>
  <si>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</si>
  <si>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</si>
  <si>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</si>
  <si>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</si>
  <si>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</si>
  <si>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</si>
  <si>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</si>
  <si>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</si>
  <si>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</si>
  <si>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</si>
  <si>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</si>
  <si>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</si>
  <si>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</si>
  <si>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</si>
  <si>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</si>
  <si>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</si>
  <si>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</si>
  <si>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</si>
  <si>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</si>
  <si>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</si>
  <si>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</si>
  <si>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</si>
  <si>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</si>
  <si>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</si>
  <si>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</si>
  <si>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</si>
  <si>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</si>
  <si>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</si>
  <si>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</si>
  <si>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</si>
  <si>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</si>
  <si>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</si>
  <si>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</si>
  <si>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</si>
  <si>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</si>
  <si>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</si>
  <si>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</si>
  <si>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</si>
  <si>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</si>
  <si>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</si>
  <si>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</si>
  <si>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</si>
  <si>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</si>
  <si>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</si>
  <si>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</si>
  <si>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</si>
  <si>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</si>
  <si>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</si>
  <si>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</si>
  <si>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</si>
  <si>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</si>
  <si>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</si>
  <si>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</si>
  <si>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</si>
  <si>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</si>
  <si>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</si>
  <si>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</si>
  <si>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</si>
  <si>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</si>
  <si>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</si>
  <si>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</si>
  <si>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</si>
  <si>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</si>
  <si>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</si>
  <si>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</si>
  <si>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</si>
  <si>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</si>
  <si>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</si>
  <si>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</si>
  <si>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</si>
  <si>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</si>
  <si>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</si>
  <si>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</si>
  <si>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</si>
  <si>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</si>
  <si>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</si>
  <si>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</si>
  <si>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</si>
  <si>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</si>
  <si>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</si>
  <si>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</si>
  <si>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</si>
  <si>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</si>
  <si>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</si>
  <si>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</si>
  <si>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</si>
  <si>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</si>
  <si>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</si>
  <si>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</si>
  <si>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</si>
  <si>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</si>
  <si>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</si>
  <si>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</si>
  <si>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</si>
  <si>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</si>
  <si>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</si>
  <si>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</si>
  <si>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</si>
  <si>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</si>
  <si>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</si>
  <si>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</si>
  <si>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</si>
  <si>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</si>
  <si>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</si>
  <si>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</si>
  <si>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</si>
  <si>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</si>
  <si>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</si>
  <si>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</si>
  <si>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</si>
  <si>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</si>
  <si>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</si>
  <si>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</si>
  <si>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</si>
  <si>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</si>
  <si>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</si>
  <si>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</si>
  <si>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</si>
  <si>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</si>
  <si>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</si>
  <si>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</si>
  <si>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</si>
  <si>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</si>
  <si>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</si>
  <si>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</si>
  <si>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</si>
  <si>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</si>
  <si>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</si>
  <si>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</si>
  <si>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</si>
  <si>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</si>
  <si>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</si>
  <si>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</si>
  <si>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</si>
  <si>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</si>
  <si>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</si>
  <si>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</si>
  <si>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</si>
  <si>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</si>
  <si>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</si>
  <si>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</si>
  <si>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</si>
  <si>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</si>
  <si>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</si>
  <si>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</si>
  <si>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</si>
  <si>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</si>
  <si>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</si>
  <si>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</si>
  <si>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</si>
  <si>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</si>
  <si>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</si>
  <si>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</si>
  <si>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</si>
  <si>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</si>
  <si>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</si>
  <si>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</si>
  <si>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</si>
  <si>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</si>
  <si>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</si>
  <si>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</si>
  <si>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</si>
  <si>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</si>
  <si>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</si>
  <si>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</si>
  <si>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</si>
  <si>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</si>
  <si>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</si>
  <si>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</si>
  <si>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</si>
  <si>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</si>
  <si>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</si>
  <si>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</si>
  <si>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</si>
  <si>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</si>
  <si>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</si>
  <si>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</si>
  <si>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</si>
  <si>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</si>
  <si>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</si>
  <si>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</si>
  <si>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</si>
  <si>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</si>
  <si>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</si>
  <si>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</si>
  <si>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</si>
  <si>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</si>
  <si>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</si>
  <si>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</si>
  <si>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</si>
  <si>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</si>
  <si>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</si>
  <si>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</si>
  <si>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</si>
  <si>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</si>
  <si>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</si>
  <si>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</si>
  <si>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</si>
  <si>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</si>
  <si>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</si>
  <si>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</si>
  <si>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</si>
  <si>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</si>
  <si>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</si>
  <si>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</si>
  <si>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</si>
  <si>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</si>
  <si>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</si>
  <si>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</si>
  <si>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</si>
  <si>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</si>
  <si>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</si>
  <si>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</si>
  <si>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</si>
  <si>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</si>
  <si>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</si>
  <si>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</si>
  <si>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</si>
  <si>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</si>
  <si>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</si>
  <si>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</si>
  <si>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</si>
  <si>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</si>
  <si>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</si>
  <si>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</si>
  <si>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</si>
  <si>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</si>
  <si>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</si>
  <si>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</si>
  <si>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</si>
  <si>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</si>
  <si>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</si>
  <si>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</si>
  <si>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</si>
  <si>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</si>
  <si>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</si>
  <si>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</si>
  <si>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</si>
  <si>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</si>
  <si>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</si>
  <si>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</si>
  <si>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</si>
  <si>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</si>
  <si>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</si>
  <si>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</si>
  <si>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</si>
  <si>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</si>
  <si>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</si>
  <si>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</si>
  <si>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</si>
  <si>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</si>
  <si>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</si>
  <si>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</si>
  <si>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</si>
  <si>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</si>
  <si>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</si>
  <si>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</si>
  <si>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</si>
  <si>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</si>
  <si>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</si>
  <si>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</si>
  <si>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</si>
  <si>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</si>
  <si>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</si>
  <si>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</si>
  <si>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</si>
  <si>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</si>
  <si>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</si>
  <si>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</si>
  <si>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</si>
  <si>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</si>
  <si>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</si>
  <si>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</si>
  <si>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</si>
  <si>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</si>
  <si>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</si>
  <si>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</si>
  <si>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</si>
  <si>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</si>
  <si>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</si>
  <si>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</si>
  <si>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</si>
  <si>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</si>
  <si>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</si>
  <si>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</si>
  <si>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</si>
  <si>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</si>
  <si>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</si>
  <si>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</si>
  <si>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</si>
  <si>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</si>
  <si>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</si>
  <si>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</si>
  <si>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</si>
  <si>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</si>
  <si>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</si>
  <si>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</si>
  <si>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</si>
  <si>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</si>
  <si>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</si>
  <si>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</si>
  <si>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</si>
  <si>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</si>
  <si>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</si>
  <si>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</si>
  <si>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</si>
  <si>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</si>
  <si>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</si>
  <si>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</si>
  <si>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</si>
  <si>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</si>
  <si>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</si>
  <si>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</si>
  <si>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</si>
  <si>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</si>
  <si>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</si>
  <si>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</si>
  <si>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</si>
  <si>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</si>
  <si>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</si>
  <si>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</si>
  <si>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</si>
  <si>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</si>
  <si>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</si>
  <si>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</si>
  <si>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</si>
  <si>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</si>
  <si>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</si>
  <si>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</si>
  <si>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</si>
  <si>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</si>
  <si>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</si>
  <si>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</si>
  <si>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</si>
  <si>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</si>
  <si>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</si>
  <si>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</si>
  <si>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</si>
  <si>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</si>
  <si>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</si>
  <si>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TBA BS</t>
  </si>
  <si>
    <t>Kanalisation Zürcherstrasse</t>
  </si>
  <si>
    <t>TJe</t>
  </si>
  <si>
    <t>FL</t>
  </si>
  <si>
    <t>Bau- und Verkehrsdepartement des Kantons Basel-Stadt, Tiefbauamt</t>
  </si>
  <si>
    <t>Murat Akkaya</t>
  </si>
  <si>
    <t>Dufourstrasse 40/50</t>
  </si>
  <si>
    <t>4001 Basel</t>
  </si>
  <si>
    <t>Bau-/Ausführungsprojekt</t>
  </si>
  <si>
    <t>5.1.1. Abwasser</t>
  </si>
  <si>
    <t>CH.01.Kanton BS</t>
  </si>
  <si>
    <t>2.1.1. Tiefbauämter</t>
  </si>
  <si>
    <t>SCe</t>
  </si>
  <si>
    <t>KBOB</t>
  </si>
  <si>
    <t>Ausschreibung, Offertvergleich</t>
  </si>
  <si>
    <t>Örttliche Bauleitung HPL</t>
  </si>
  <si>
    <t>Kanalisationsbegehren</t>
  </si>
  <si>
    <t>Liegenschaftsbegehungen</t>
  </si>
  <si>
    <t>Mittelstundenansatz 120 CHF</t>
  </si>
  <si>
    <t>Örtliche Bauleitung GAL</t>
  </si>
  <si>
    <t>Schlüsselorganisation</t>
  </si>
  <si>
    <t>Nebenkosten nicht verrechenbar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</si>
</sst>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41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1" fontId="0" fillId="0" borderId="0" xfId="1" applyNumberFormat="1" applyFont="1"/>
    <xf numFmtId="0" fontId="0" fillId="0" borderId="0" xfId="1" applyFont="1"/>
    <xf numFmtId="0" fontId="4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5" fillId="3" borderId="0" xfId="0" applyFont="1" applyFill="1"/>
    <xf numFmtId="0" fontId="7" fillId="3" borderId="0" xfId="0" applyFont="1" applyFill="1"/>
    <xf numFmtId="0" fontId="7" fillId="0" borderId="0" xfId="0" applyFont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Protection="1">
      <protection locked="0"/>
    </xf>
    <xf numFmtId="3" fontId="0" fillId="2" borderId="2" xfId="0" applyNumberFormat="1" applyFill="1" applyBorder="1" applyAlignment="1" applyProtection="1">
      <alignment horizontal="right"/>
      <protection locked="0"/>
    </xf>
    <xf numFmtId="0" fontId="0" fillId="0" borderId="3" xfId="0" applyBorder="1"/>
    <xf numFmtId="0" fontId="0" fillId="0" borderId="0" xfId="0" applyAlignment="1">
      <alignment horizontal="left" indent="2"/>
    </xf>
    <xf numFmtId="0" fontId="7" fillId="0" borderId="0" xfId="0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164" fontId="0" fillId="2" borderId="2" xfId="0" applyNumberFormat="1" applyFill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5" borderId="0" xfId="0" applyFill="1"/>
    <xf numFmtId="0" fontId="9" fillId="0" borderId="0" xfId="0" applyFont="1" applyAlignment="1">
      <alignment horizontal="left" indent="2"/>
    </xf>
    <xf numFmtId="0" fontId="0" fillId="0" borderId="0" xfId="0" applyAlignment="1">
      <alignment horizontal="center"/>
    </xf>
    <xf numFmtId="0" fontId="0" fillId="6" borderId="0" xfId="0" applyFill="1"/>
    <xf numFmtId="0" fontId="10" fillId="6" borderId="0" xfId="0" applyFont="1" applyFill="1"/>
    <xf numFmtId="0" fontId="10" fillId="6" borderId="0" xfId="0" quotePrefix="1" applyFont="1" applyFill="1" applyProtection="1">
      <protection locked="0"/>
    </xf>
    <xf numFmtId="10" fontId="0" fillId="2" borderId="2" xfId="0" applyNumberForma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3" fillId="0" borderId="0" xfId="0" quotePrefix="1" applyFont="1" applyAlignment="1">
      <alignment horizontal="right" vertical="center" wrapText="1"/>
    </xf>
    <xf numFmtId="166" fontId="0" fillId="2" borderId="2" xfId="0" quotePrefix="1" applyNumberFormat="1" applyFill="1" applyBorder="1" applyAlignment="1" applyProtection="1">
      <alignment horizontal="left"/>
      <protection locked="0"/>
    </xf>
    <xf numFmtId="166" fontId="0" fillId="2" borderId="4" xfId="0" quotePrefix="1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0" xfId="0" applyAlignment="1">
      <alignment wrapText="1"/>
    </xf>
    <xf numFmtId="0" fontId="3" fillId="2" borderId="2" xfId="0" applyFont="1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</cellXfs>
  <cellStyles count="2">
    <cellStyle name="Standard" xfId="0" builtinId="0"/>
    <cellStyle name="Standard 2" xfId="1" xr:uid="{00000000-0005-0000-0000-000001000000}"/>
  </cellStyles>
  <dxfs count="32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firstButton="1" fmlaLink="G6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firstButton="1" fmlaLink="G53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fmlaLink="$G$20" lockText="1" noThreeD="1"/>
</file>

<file path=xl/ctrlProps/ctrlProp20.xml><?xml version="1.0" encoding="utf-8"?>
<formControlPr xmlns="http://schemas.microsoft.com/office/spreadsheetml/2009/9/main" objectType="CheckBox" checked="Checked" fmlaLink="$G$45" lockText="1" noThreeD="1"/>
</file>

<file path=xl/ctrlProps/ctrlProp21.xml><?xml version="1.0" encoding="utf-8"?>
<formControlPr xmlns="http://schemas.microsoft.com/office/spreadsheetml/2009/9/main" objectType="CheckBox" fmlaLink="$G$47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Radio" firstButton="1" fmlaLink="G61" lockText="1" noThreeD="1"/>
</file>

<file path=xl/ctrlProps/ctrlProp26.xml><?xml version="1.0" encoding="utf-8"?>
<formControlPr xmlns="http://schemas.microsoft.com/office/spreadsheetml/2009/9/main" objectType="Radio" checked="Checked" lockText="1" noThreeD="1"/>
</file>

<file path=xl/ctrlProps/ctrlProp27.xml><?xml version="1.0" encoding="utf-8"?>
<formControlPr xmlns="http://schemas.microsoft.com/office/spreadsheetml/2009/9/main" objectType="Radio" firstButton="1" fmlaLink="G53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Radio" checked="Checked" firstButton="1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fmlaLink="$G$20" lockText="1" noThreeD="1"/>
</file>

<file path=xl/ctrlProps/ctrlProp39.xml><?xml version="1.0" encoding="utf-8"?>
<formControlPr xmlns="http://schemas.microsoft.com/office/spreadsheetml/2009/9/main" objectType="CheckBox" checked="Checked" fmlaLink="$G$45" lockText="1" noThreeD="1"/>
</file>

<file path=xl/ctrlProps/ctrlProp40.xml><?xml version="1.0" encoding="utf-8"?>
<formControlPr xmlns="http://schemas.microsoft.com/office/spreadsheetml/2009/9/main" objectType="CheckBox" fmlaLink="$G$47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Radio" firstButton="1" fmlaLink="G61" lockText="1" noThreeD="1"/>
</file>

<file path=xl/ctrlProps/ctrlProp45.xml><?xml version="1.0" encoding="utf-8"?>
<formControlPr xmlns="http://schemas.microsoft.com/office/spreadsheetml/2009/9/main" objectType="Radio" checked="Checked" lockText="1" noThreeD="1"/>
</file>

<file path=xl/ctrlProps/ctrlProp46.xml><?xml version="1.0" encoding="utf-8"?>
<formControlPr xmlns="http://schemas.microsoft.com/office/spreadsheetml/2009/9/main" objectType="Radio" firstButton="1" fmlaLink="G53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Radio" checked="Checked" firstButton="1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GBox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fmlaLink="$G$20" lockText="1" noThreeD="1"/>
</file>

<file path=xl/ctrlProps/ctrlProp58.xml><?xml version="1.0" encoding="utf-8"?>
<formControlPr xmlns="http://schemas.microsoft.com/office/spreadsheetml/2009/9/main" objectType="CheckBox" checked="Checked" fmlaLink="$G$45" lockText="1" noThreeD="1"/>
</file>

<file path=xl/ctrlProps/ctrlProp59.xml><?xml version="1.0" encoding="utf-8"?>
<formControlPr xmlns="http://schemas.microsoft.com/office/spreadsheetml/2009/9/main" objectType="CheckBox" fmlaLink="$G$47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Radio" firstButton="1" fmlaLink="G61" lockText="1" noThreeD="1"/>
</file>

<file path=xl/ctrlProps/ctrlProp64.xml><?xml version="1.0" encoding="utf-8"?>
<formControlPr xmlns="http://schemas.microsoft.com/office/spreadsheetml/2009/9/main" objectType="Radio" checked="Checked" lockText="1" noThreeD="1"/>
</file>

<file path=xl/ctrlProps/ctrlProp65.xml><?xml version="1.0" encoding="utf-8"?>
<formControlPr xmlns="http://schemas.microsoft.com/office/spreadsheetml/2009/9/main" objectType="Radio" firstButton="1" fmlaLink="G53" lockText="1" noThreeD="1"/>
</file>

<file path=xl/ctrlProps/ctrlProp66.xml><?xml version="1.0" encoding="utf-8"?>
<formControlPr xmlns="http://schemas.microsoft.com/office/spreadsheetml/2009/9/main" objectType="Radio" checked="Checked" lockText="1" noThreeD="1"/>
</file>

<file path=xl/ctrlProps/ctrlProp67.xml><?xml version="1.0" encoding="utf-8"?>
<formControlPr xmlns="http://schemas.microsoft.com/office/spreadsheetml/2009/9/main" objectType="GBox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GBox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checked="Checked" fmlaLink="$G$20" lockText="1" noThreeD="1"/>
</file>

<file path=xl/ctrlProps/ctrlProp77.xml><?xml version="1.0" encoding="utf-8"?>
<formControlPr xmlns="http://schemas.microsoft.com/office/spreadsheetml/2009/9/main" objectType="CheckBox" checked="Checked" fmlaLink="$G$45" lockText="1" noThreeD="1"/>
</file>

<file path=xl/ctrlProps/ctrlProp78.xml><?xml version="1.0" encoding="utf-8"?>
<formControlPr xmlns="http://schemas.microsoft.com/office/spreadsheetml/2009/9/main" objectType="CheckBox" fmlaLink="$G$47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Radio" checked="Checked" firstButton="1" fmlaLink="G61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firstButton="1" fmlaLink="G53" lockText="1" noThreeD="1"/>
</file>

<file path=xl/ctrlProps/ctrlProp85.xml><?xml version="1.0" encoding="utf-8"?>
<formControlPr xmlns="http://schemas.microsoft.com/office/spreadsheetml/2009/9/main" objectType="Radio" checked="Checked" lockText="1" noThreeD="1"/>
</file>

<file path=xl/ctrlProps/ctrlProp86.xml><?xml version="1.0" encoding="utf-8"?>
<formControlPr xmlns="http://schemas.microsoft.com/office/spreadsheetml/2009/9/main" objectType="GBox"/>
</file>

<file path=xl/ctrlProps/ctrlProp87.xml><?xml version="1.0" encoding="utf-8"?>
<formControlPr xmlns="http://schemas.microsoft.com/office/spreadsheetml/2009/9/main" objectType="Radio" checked="Checked" firstButton="1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GBox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fmlaLink="$G$20" lockText="1" noThreeD="1"/>
</file>

<file path=xl/ctrlProps/ctrlProp96.xml><?xml version="1.0" encoding="utf-8"?>
<formControlPr xmlns="http://schemas.microsoft.com/office/spreadsheetml/2009/9/main" objectType="CheckBox" checked="Checked" fmlaLink="$G$45" lockText="1" noThreeD="1"/>
</file>

<file path=xl/ctrlProps/ctrlProp97.xml><?xml version="1.0" encoding="utf-8"?>
<formControlPr xmlns="http://schemas.microsoft.com/office/spreadsheetml/2009/9/main" objectType="CheckBox" fmlaLink="$G$47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Radio" checked="Checked" firstButton="1" fmlaLink="G61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firstButton="1" fmlaLink="G53" lockText="1" noThreeD="1"/>
</file>

<file path=xl/ctrlProps/ctrlProp104.xml><?xml version="1.0" encoding="utf-8"?>
<formControlPr xmlns="http://schemas.microsoft.com/office/spreadsheetml/2009/9/main" objectType="Radio" checked="Checked" lockText="1" noThreeD="1"/>
</file>

<file path=xl/ctrlProps/ctrlProp105.xml><?xml version="1.0" encoding="utf-8"?>
<formControlPr xmlns="http://schemas.microsoft.com/office/spreadsheetml/2009/9/main" objectType="GBox"/>
</file>

<file path=xl/ctrlProps/ctrlProp106.xml><?xml version="1.0" encoding="utf-8"?>
<formControlPr xmlns="http://schemas.microsoft.com/office/spreadsheetml/2009/9/main" objectType="Radio" checked="Checked" firstButton="1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/>
</file>

<file path=xl/ctrlProps/ctrlProp110.xml><?xml version="1.0" encoding="utf-8"?>
<formControlPr xmlns="http://schemas.microsoft.com/office/spreadsheetml/2009/9/main" objectType="GBox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fmlaLink="$G$20" lockText="1" noThreeD="1"/>
</file>

<file path=xl/ctrlProps/ctrlProp115.xml><?xml version="1.0" encoding="utf-8"?>
<formControlPr xmlns="http://schemas.microsoft.com/office/spreadsheetml/2009/9/main" objectType="CheckBox" checked="Checked" fmlaLink="$G$45" lockText="1" noThreeD="1"/>
</file>

<file path=xl/ctrlProps/ctrlProp116.xml><?xml version="1.0" encoding="utf-8"?>
<formControlPr xmlns="http://schemas.microsoft.com/office/spreadsheetml/2009/9/main" objectType="CheckBox" fmlaLink="$G$47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Radio" firstButton="1" fmlaLink="G61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firstButton="1" fmlaLink="G53" lockText="1" noThreeD="1"/>
</file>

<file path=xl/ctrlProps/ctrlProp123.xml><?xml version="1.0" encoding="utf-8"?>
<formControlPr xmlns="http://schemas.microsoft.com/office/spreadsheetml/2009/9/main" objectType="Radio" checked="Checked" lockText="1" noThreeD="1"/>
</file>

<file path=xl/ctrlProps/ctrlProp124.xml><?xml version="1.0" encoding="utf-8"?>
<formControlPr xmlns="http://schemas.microsoft.com/office/spreadsheetml/2009/9/main" objectType="GBox"/>
</file>

<file path=xl/ctrlProps/ctrlProp125.xml><?xml version="1.0" encoding="utf-8"?>
<formControlPr xmlns="http://schemas.microsoft.com/office/spreadsheetml/2009/9/main" objectType="Radio" checked="Checked" firstButton="1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GBox"/>
</file>

<file path=xl/ctrlProps/ctrlProp129.xml><?xml version="1.0" encoding="utf-8"?>
<formControlPr xmlns="http://schemas.microsoft.com/office/spreadsheetml/2009/9/main" objectType="GBox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checked="Checked" fmlaLink="$G$20" lockText="1" noThreeD="1"/>
</file>

<file path=xl/ctrlProps/ctrlProp134.xml><?xml version="1.0" encoding="utf-8"?>
<formControlPr xmlns="http://schemas.microsoft.com/office/spreadsheetml/2009/9/main" objectType="CheckBox" fmlaLink="$G$45" lockText="1" noThreeD="1"/>
</file>

<file path=xl/ctrlProps/ctrlProp135.xml><?xml version="1.0" encoding="utf-8"?>
<formControlPr xmlns="http://schemas.microsoft.com/office/spreadsheetml/2009/9/main" objectType="CheckBox" checked="Checked" fmlaLink="$G$47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Radio" firstButton="1" fmlaLink="G61" lockText="1" noThreeD="1"/>
</file>

<file path=xl/ctrlProps/ctrlProp140.xml><?xml version="1.0" encoding="utf-8"?>
<formControlPr xmlns="http://schemas.microsoft.com/office/spreadsheetml/2009/9/main" objectType="Radio" checked="Checked" lockText="1" noThreeD="1"/>
</file>

<file path=xl/ctrlProps/ctrlProp141.xml><?xml version="1.0" encoding="utf-8"?>
<formControlPr xmlns="http://schemas.microsoft.com/office/spreadsheetml/2009/9/main" objectType="Radio" firstButton="1" fmlaLink="G53" lockText="1" noThreeD="1"/>
</file>

<file path=xl/ctrlProps/ctrlProp142.xml><?xml version="1.0" encoding="utf-8"?>
<formControlPr xmlns="http://schemas.microsoft.com/office/spreadsheetml/2009/9/main" objectType="Radio" checked="Checked" lockText="1" noThreeD="1"/>
</file>

<file path=xl/ctrlProps/ctrlProp143.xml><?xml version="1.0" encoding="utf-8"?>
<formControlPr xmlns="http://schemas.microsoft.com/office/spreadsheetml/2009/9/main" objectType="GBox"/>
</file>

<file path=xl/ctrlProps/ctrlProp144.xml><?xml version="1.0" encoding="utf-8"?>
<formControlPr xmlns="http://schemas.microsoft.com/office/spreadsheetml/2009/9/main" objectType="Radio" checked="Checked" firstButton="1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GBox"/>
</file>

<file path=xl/ctrlProps/ctrlProp148.xml><?xml version="1.0" encoding="utf-8"?>
<formControlPr xmlns="http://schemas.microsoft.com/office/spreadsheetml/2009/9/main" objectType="GBox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checked="Checked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8202" name="Rechnungsausl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8207" name="Versicherung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7175" name="Option 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7176" name="Option 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7178" name="Rechnungsausl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7183" name="Versicherung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1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6150" name="Option 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6151" name="Option 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6152" name="Option 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6153" name="Option 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2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6154" name="Rechnungsausl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2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6155" name="Option 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2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6156" name="Option 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6157" name="Option 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6158" name="Group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6159" name="Versicherung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2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2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5130" name="Rechnungsausl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5131" name="Option 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5135" name="Versicherung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4106" name="Rechnungsausl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4111" name="Versicherung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4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3082" name="Rechnungsausl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5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5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3086" name="Group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3087" name="Versicherung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5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5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6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6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2058" name="Rechnungsausl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6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6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6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6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2062" name="Group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6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2063" name="Versicherung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6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6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7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7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7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7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7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7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7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52</xdr:row>
          <xdr:rowOff>165100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7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7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7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7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7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7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7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7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7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50</xdr:row>
          <xdr:rowOff>165100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7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7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7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23" Type="http://schemas.openxmlformats.org/officeDocument/2006/relationships/ctrlProp" Target="../ctrlProps/ctrlProp38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18" Type="http://schemas.openxmlformats.org/officeDocument/2006/relationships/ctrlProp" Target="../ctrlProps/ctrlProp52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5.x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17" Type="http://schemas.openxmlformats.org/officeDocument/2006/relationships/ctrlProp" Target="../ctrlProps/ctrlProp5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0.xml"/><Relationship Id="rId20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5" Type="http://schemas.openxmlformats.org/officeDocument/2006/relationships/ctrlProp" Target="../ctrlProps/ctrlProp49.xml"/><Relationship Id="rId23" Type="http://schemas.openxmlformats.org/officeDocument/2006/relationships/ctrlProp" Target="../ctrlProps/ctrlProp57.xml"/><Relationship Id="rId10" Type="http://schemas.openxmlformats.org/officeDocument/2006/relationships/ctrlProp" Target="../ctrlProps/ctrlProp44.xml"/><Relationship Id="rId19" Type="http://schemas.openxmlformats.org/officeDocument/2006/relationships/ctrlProp" Target="../ctrlProps/ctrlProp5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3.xml"/><Relationship Id="rId14" Type="http://schemas.openxmlformats.org/officeDocument/2006/relationships/ctrlProp" Target="../ctrlProps/ctrlProp48.xml"/><Relationship Id="rId22" Type="http://schemas.openxmlformats.org/officeDocument/2006/relationships/ctrlProp" Target="../ctrlProps/ctrlProp5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4.x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9.xml"/><Relationship Id="rId20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10" Type="http://schemas.openxmlformats.org/officeDocument/2006/relationships/ctrlProp" Target="../ctrlProps/ctrlProp63.xml"/><Relationship Id="rId19" Type="http://schemas.openxmlformats.org/officeDocument/2006/relationships/ctrlProp" Target="../ctrlProps/ctrlProp72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93.xml"/><Relationship Id="rId7" Type="http://schemas.openxmlformats.org/officeDocument/2006/relationships/ctrlProp" Target="../ctrlProps/ctrlProp79.x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88.xml"/><Relationship Id="rId20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8.xml"/><Relationship Id="rId11" Type="http://schemas.openxmlformats.org/officeDocument/2006/relationships/ctrlProp" Target="../ctrlProps/ctrlProp83.xml"/><Relationship Id="rId5" Type="http://schemas.openxmlformats.org/officeDocument/2006/relationships/ctrlProp" Target="../ctrlProps/ctrlProp77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10" Type="http://schemas.openxmlformats.org/officeDocument/2006/relationships/ctrlProp" Target="../ctrlProps/ctrlProp82.xml"/><Relationship Id="rId19" Type="http://schemas.openxmlformats.org/officeDocument/2006/relationships/ctrlProp" Target="../ctrlProps/ctrlProp91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8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12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13" Type="http://schemas.openxmlformats.org/officeDocument/2006/relationships/ctrlProp" Target="../ctrlProps/ctrlProp123.xml"/><Relationship Id="rId18" Type="http://schemas.openxmlformats.org/officeDocument/2006/relationships/ctrlProp" Target="../ctrlProps/ctrlProp128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131.x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17" Type="http://schemas.openxmlformats.org/officeDocument/2006/relationships/ctrlProp" Target="../ctrlProps/ctrlProp12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26.xml"/><Relationship Id="rId20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5" Type="http://schemas.openxmlformats.org/officeDocument/2006/relationships/ctrlProp" Target="../ctrlProps/ctrlProp125.xml"/><Relationship Id="rId23" Type="http://schemas.openxmlformats.org/officeDocument/2006/relationships/ctrlProp" Target="../ctrlProps/ctrlProp133.xml"/><Relationship Id="rId10" Type="http://schemas.openxmlformats.org/officeDocument/2006/relationships/ctrlProp" Target="../ctrlProps/ctrlProp120.xml"/><Relationship Id="rId19" Type="http://schemas.openxmlformats.org/officeDocument/2006/relationships/ctrlProp" Target="../ctrlProps/ctrlProp129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119.xml"/><Relationship Id="rId14" Type="http://schemas.openxmlformats.org/officeDocument/2006/relationships/ctrlProp" Target="../ctrlProps/ctrlProp124.xml"/><Relationship Id="rId22" Type="http://schemas.openxmlformats.org/officeDocument/2006/relationships/ctrlProp" Target="../ctrlProps/ctrlProp1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7.xml"/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3" Type="http://schemas.openxmlformats.org/officeDocument/2006/relationships/vmlDrawing" Target="../drawings/vmlDrawing15.vml"/><Relationship Id="rId21" Type="http://schemas.openxmlformats.org/officeDocument/2006/relationships/ctrlProp" Target="../ctrlProps/ctrlProp150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100</v>
      </c>
      <c r="E29" s="39" t="s">
        <v>656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2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661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6500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31" priority="4">
      <formula>$G$20=TRUE</formula>
    </cfRule>
  </conditionalFormatting>
  <conditionalFormatting sqref="A21:A22">
    <cfRule type="expression" dxfId="30" priority="3">
      <formula>$G$20=TRUE</formula>
    </cfRule>
  </conditionalFormatting>
  <conditionalFormatting sqref="F45">
    <cfRule type="expression" dxfId="29" priority="2">
      <formula>$G$45=TRUE</formula>
    </cfRule>
  </conditionalFormatting>
  <conditionalFormatting sqref="C45">
    <cfRule type="expression" dxfId="28" priority="1">
      <formula>$G$45=TRUE</formula>
    </cfRule>
  </conditionalFormatting>
  <dataValidations count="8">
    <dataValidation type="textLength" allowBlank="1" showInputMessage="1" showErrorMessage="1" sqref="C7" xr:uid="{00000000-0002-0000-0000-000000000000}">
      <formula1>0</formula1>
      <formula2>50</formula2>
    </dataValidation>
    <dataValidation type="list" allowBlank="1" showInputMessage="1" showErrorMessage="1" sqref="E53" xr:uid="{00000000-0002-0000-0000-000001000000}">
      <formula1>RG_Ausloesung</formula1>
    </dataValidation>
    <dataValidation type="whole" allowBlank="1" showInputMessage="1" showErrorMessage="1" sqref="C29" xr:uid="{00000000-0002-0000-0000-000002000000}">
      <formula1>0</formula1>
      <formula2>999</formula2>
    </dataValidation>
    <dataValidation type="list" allowBlank="1" showInputMessage="1" showErrorMessage="1" sqref="C66:F66" xr:uid="{00000000-0002-0000-0000-000003000000}">
      <formula1>NKTarifkat</formula1>
    </dataValidation>
    <dataValidation type="list" allowBlank="1" showInputMessage="1" showErrorMessage="1" sqref="C5:F5" xr:uid="{00000000-0002-0000-0000-000004000000}">
      <formula1>Organisationseinheit</formula1>
    </dataValidation>
    <dataValidation type="list" allowBlank="1" showInputMessage="1" showErrorMessage="1" sqref="C35:E35" xr:uid="{00000000-0002-0000-0000-000005000000}">
      <formula1>Branche</formula1>
    </dataValidation>
    <dataValidation type="list" allowBlank="1" showInputMessage="1" showErrorMessage="1" sqref="C31:E31" xr:uid="{00000000-0002-0000-0000-000006000000}">
      <formula1>Bereich</formula1>
    </dataValidation>
    <dataValidation type="list" allowBlank="1" showInputMessage="1" showErrorMessage="1" sqref="C33:E33" xr:uid="{00000000-0002-0000-0000-000007000000}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200</v>
      </c>
      <c r="E29" s="39" t="s">
        <v>662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2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661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5400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27" priority="4">
      <formula>$G$20=TRUE</formula>
    </cfRule>
  </conditionalFormatting>
  <conditionalFormatting sqref="A21:A22">
    <cfRule type="expression" dxfId="26" priority="3">
      <formula>$G$20=TRUE</formula>
    </cfRule>
  </conditionalFormatting>
  <conditionalFormatting sqref="F45">
    <cfRule type="expression" dxfId="25" priority="2">
      <formula>$G$45=TRUE</formula>
    </cfRule>
  </conditionalFormatting>
  <conditionalFormatting sqref="C45">
    <cfRule type="expression" dxfId="24" priority="1">
      <formula>$G$45=TRUE</formula>
    </cfRule>
  </conditionalFormatting>
  <dataValidations count="8">
    <dataValidation type="list" allowBlank="1" showInputMessage="1" showErrorMessage="1" sqref="C33:E33" xr:uid="{00000000-0002-0000-0100-000000000000}">
      <formula1>Gebiet</formula1>
    </dataValidation>
    <dataValidation type="list" allowBlank="1" showInputMessage="1" showErrorMessage="1" sqref="C31:E31" xr:uid="{00000000-0002-0000-0100-000001000000}">
      <formula1>Bereich</formula1>
    </dataValidation>
    <dataValidation type="list" allowBlank="1" showInputMessage="1" showErrorMessage="1" sqref="C35:E35" xr:uid="{00000000-0002-0000-0100-000002000000}">
      <formula1>Branche</formula1>
    </dataValidation>
    <dataValidation type="list" allowBlank="1" showInputMessage="1" showErrorMessage="1" sqref="C5:F5" xr:uid="{00000000-0002-0000-0100-000003000000}">
      <formula1>Organisationseinheit</formula1>
    </dataValidation>
    <dataValidation type="list" allowBlank="1" showInputMessage="1" showErrorMessage="1" sqref="C66:F66" xr:uid="{00000000-0002-0000-0100-000004000000}">
      <formula1>NKTarifkat</formula1>
    </dataValidation>
    <dataValidation type="whole" allowBlank="1" showInputMessage="1" showErrorMessage="1" sqref="C29" xr:uid="{00000000-0002-0000-0100-000005000000}">
      <formula1>0</formula1>
      <formula2>999</formula2>
    </dataValidation>
    <dataValidation type="list" allowBlank="1" showInputMessage="1" showErrorMessage="1" sqref="E53" xr:uid="{00000000-0002-0000-0100-000006000000}">
      <formula1>RG_Ausloesung</formula1>
    </dataValidation>
    <dataValidation type="textLength" allowBlank="1" showInputMessage="1" showErrorMessage="1" sqref="C7" xr:uid="{00000000-0002-0000-0100-000007000000}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300</v>
      </c>
      <c r="E29" s="39" t="s">
        <v>663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2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661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8300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23" priority="4">
      <formula>$G$20=TRUE</formula>
    </cfRule>
  </conditionalFormatting>
  <conditionalFormatting sqref="A21:A22">
    <cfRule type="expression" dxfId="22" priority="3">
      <formula>$G$20=TRUE</formula>
    </cfRule>
  </conditionalFormatting>
  <conditionalFormatting sqref="F45">
    <cfRule type="expression" dxfId="21" priority="2">
      <formula>$G$45=TRUE</formula>
    </cfRule>
  </conditionalFormatting>
  <conditionalFormatting sqref="C45">
    <cfRule type="expression" dxfId="20" priority="1">
      <formula>$G$45=TRUE</formula>
    </cfRule>
  </conditionalFormatting>
  <dataValidations count="8">
    <dataValidation type="textLength" allowBlank="1" showInputMessage="1" showErrorMessage="1" sqref="C7" xr:uid="{00000000-0002-0000-0200-000000000000}">
      <formula1>0</formula1>
      <formula2>50</formula2>
    </dataValidation>
    <dataValidation type="list" allowBlank="1" showInputMessage="1" showErrorMessage="1" sqref="E53" xr:uid="{00000000-0002-0000-0200-000001000000}">
      <formula1>RG_Ausloesung</formula1>
    </dataValidation>
    <dataValidation type="whole" allowBlank="1" showInputMessage="1" showErrorMessage="1" sqref="C29" xr:uid="{00000000-0002-0000-0200-000002000000}">
      <formula1>0</formula1>
      <formula2>999</formula2>
    </dataValidation>
    <dataValidation type="list" allowBlank="1" showInputMessage="1" showErrorMessage="1" sqref="C66:F66" xr:uid="{00000000-0002-0000-0200-000003000000}">
      <formula1>NKTarifkat</formula1>
    </dataValidation>
    <dataValidation type="list" allowBlank="1" showInputMessage="1" showErrorMessage="1" sqref="C5:F5" xr:uid="{00000000-0002-0000-0200-000004000000}">
      <formula1>Organisationseinheit</formula1>
    </dataValidation>
    <dataValidation type="list" allowBlank="1" showInputMessage="1" showErrorMessage="1" sqref="C35:E35" xr:uid="{00000000-0002-0000-0200-000005000000}">
      <formula1>Branche</formula1>
    </dataValidation>
    <dataValidation type="list" allowBlank="1" showInputMessage="1" showErrorMessage="1" sqref="C31:E31" xr:uid="{00000000-0002-0000-0200-000006000000}">
      <formula1>Bereich</formula1>
    </dataValidation>
    <dataValidation type="list" allowBlank="1" showInputMessage="1" showErrorMessage="1" sqref="C33:E33" xr:uid="{00000000-0002-0000-0200-000007000000}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1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400</v>
      </c>
      <c r="E29" s="39" t="s">
        <v>664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2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661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5030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19" priority="4">
      <formula>$G$20=TRUE</formula>
    </cfRule>
  </conditionalFormatting>
  <conditionalFormatting sqref="A21:A22">
    <cfRule type="expression" dxfId="18" priority="3">
      <formula>$G$20=TRUE</formula>
    </cfRule>
  </conditionalFormatting>
  <conditionalFormatting sqref="F45">
    <cfRule type="expression" dxfId="17" priority="2">
      <formula>$G$45=TRUE</formula>
    </cfRule>
  </conditionalFormatting>
  <conditionalFormatting sqref="C45">
    <cfRule type="expression" dxfId="16" priority="1">
      <formula>$G$45=TRUE</formula>
    </cfRule>
  </conditionalFormatting>
  <dataValidations count="8">
    <dataValidation type="list" allowBlank="1" showInputMessage="1" showErrorMessage="1" sqref="C33:E33" xr:uid="{00000000-0002-0000-0300-000000000000}">
      <formula1>Gebiet</formula1>
    </dataValidation>
    <dataValidation type="list" allowBlank="1" showInputMessage="1" showErrorMessage="1" sqref="C31:E31" xr:uid="{00000000-0002-0000-0300-000001000000}">
      <formula1>Bereich</formula1>
    </dataValidation>
    <dataValidation type="list" allowBlank="1" showInputMessage="1" showErrorMessage="1" sqref="C35:E35" xr:uid="{00000000-0002-0000-0300-000002000000}">
      <formula1>Branche</formula1>
    </dataValidation>
    <dataValidation type="list" allowBlank="1" showInputMessage="1" showErrorMessage="1" sqref="C5:F5" xr:uid="{00000000-0002-0000-0300-000003000000}">
      <formula1>Organisationseinheit</formula1>
    </dataValidation>
    <dataValidation type="list" allowBlank="1" showInputMessage="1" showErrorMessage="1" sqref="C66:F66" xr:uid="{00000000-0002-0000-0300-000004000000}">
      <formula1>NKTarifkat</formula1>
    </dataValidation>
    <dataValidation type="whole" allowBlank="1" showInputMessage="1" showErrorMessage="1" sqref="C29" xr:uid="{00000000-0002-0000-0300-000005000000}">
      <formula1>0</formula1>
      <formula2>999</formula2>
    </dataValidation>
    <dataValidation type="list" allowBlank="1" showInputMessage="1" showErrorMessage="1" sqref="E53" xr:uid="{00000000-0002-0000-0300-000006000000}">
      <formula1>RG_Ausloesung</formula1>
    </dataValidation>
    <dataValidation type="textLength" allowBlank="1" showInputMessage="1" showErrorMessage="1" sqref="C7" xr:uid="{00000000-0002-0000-0300-000007000000}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0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500</v>
      </c>
      <c r="E29" s="39" t="s">
        <v>665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1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666</v>
      </c>
      <c r="D65" s="33"/>
      <c r="E65" s="33"/>
      <c r="F65" s="33"/>
    </row>
    <row r="66" spans="1:7" ht="13" x14ac:dyDescent="0.15">
      <c r="A66" t="s">
        <v>17</v>
      </c>
      <c r="C66" s="37" t="s">
        <v>595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3200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15" priority="4">
      <formula>$G$20=TRUE</formula>
    </cfRule>
  </conditionalFormatting>
  <conditionalFormatting sqref="A21:A22">
    <cfRule type="expression" dxfId="14" priority="3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textLength" allowBlank="1" showInputMessage="1" showErrorMessage="1" sqref="C7" xr:uid="{00000000-0002-0000-0400-000000000000}">
      <formula1>0</formula1>
      <formula2>50</formula2>
    </dataValidation>
    <dataValidation type="list" allowBlank="1" showInputMessage="1" showErrorMessage="1" sqref="E53" xr:uid="{00000000-0002-0000-0400-000001000000}">
      <formula1>RG_Ausloesung</formula1>
    </dataValidation>
    <dataValidation type="whole" allowBlank="1" showInputMessage="1" showErrorMessage="1" sqref="C29" xr:uid="{00000000-0002-0000-0400-000002000000}">
      <formula1>0</formula1>
      <formula2>999</formula2>
    </dataValidation>
    <dataValidation type="list" allowBlank="1" showInputMessage="1" showErrorMessage="1" sqref="C66:F66" xr:uid="{00000000-0002-0000-0400-000003000000}">
      <formula1>NKTarifkat</formula1>
    </dataValidation>
    <dataValidation type="list" allowBlank="1" showInputMessage="1" showErrorMessage="1" sqref="C5:F5" xr:uid="{00000000-0002-0000-0400-000004000000}">
      <formula1>Organisationseinheit</formula1>
    </dataValidation>
    <dataValidation type="list" allowBlank="1" showInputMessage="1" showErrorMessage="1" sqref="C35:E35" xr:uid="{00000000-0002-0000-0400-000005000000}">
      <formula1>Branche</formula1>
    </dataValidation>
    <dataValidation type="list" allowBlank="1" showInputMessage="1" showErrorMessage="1" sqref="C31:E31" xr:uid="{00000000-0002-0000-0400-000006000000}">
      <formula1>Bereich</formula1>
    </dataValidation>
    <dataValidation type="list" allowBlank="1" showInputMessage="1" showErrorMessage="1" sqref="C33:E33" xr:uid="{00000000-0002-0000-0400-000007000000}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9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600</v>
      </c>
      <c r="E29" s="39" t="s">
        <v>667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1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666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6300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list" allowBlank="1" showInputMessage="1" showErrorMessage="1" sqref="C33:E33" xr:uid="{00000000-0002-0000-0500-000000000000}">
      <formula1>Gebiet</formula1>
    </dataValidation>
    <dataValidation type="list" allowBlank="1" showInputMessage="1" showErrorMessage="1" sqref="C31:E31" xr:uid="{00000000-0002-0000-0500-000001000000}">
      <formula1>Bereich</formula1>
    </dataValidation>
    <dataValidation type="list" allowBlank="1" showInputMessage="1" showErrorMessage="1" sqref="C35:E35" xr:uid="{00000000-0002-0000-0500-000002000000}">
      <formula1>Branche</formula1>
    </dataValidation>
    <dataValidation type="list" allowBlank="1" showInputMessage="1" showErrorMessage="1" sqref="C5:F5" xr:uid="{00000000-0002-0000-0500-000003000000}">
      <formula1>Organisationseinheit</formula1>
    </dataValidation>
    <dataValidation type="list" allowBlank="1" showInputMessage="1" showErrorMessage="1" sqref="C66:F66" xr:uid="{00000000-0002-0000-0500-000004000000}">
      <formula1>NKTarifkat</formula1>
    </dataValidation>
    <dataValidation type="whole" allowBlank="1" showInputMessage="1" showErrorMessage="1" sqref="C29" xr:uid="{00000000-0002-0000-0500-000005000000}">
      <formula1>0</formula1>
      <formula2>999</formula2>
    </dataValidation>
    <dataValidation type="list" allowBlank="1" showInputMessage="1" showErrorMessage="1" sqref="E53" xr:uid="{00000000-0002-0000-0500-000006000000}">
      <formula1>RG_Ausloesung</formula1>
    </dataValidation>
    <dataValidation type="textLength" allowBlank="1" showInputMessage="1" showErrorMessage="1" sqref="C7" xr:uid="{00000000-0002-0000-0500-000007000000}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700</v>
      </c>
      <c r="E29" s="39" t="s">
        <v>668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0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666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3200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textLength" allowBlank="1" showInputMessage="1" showErrorMessage="1" sqref="C7" xr:uid="{00000000-0002-0000-0600-000000000000}">
      <formula1>0</formula1>
      <formula2>50</formula2>
    </dataValidation>
    <dataValidation type="list" allowBlank="1" showInputMessage="1" showErrorMessage="1" sqref="E53" xr:uid="{00000000-0002-0000-0600-000001000000}">
      <formula1>RG_Ausloesung</formula1>
    </dataValidation>
    <dataValidation type="whole" allowBlank="1" showInputMessage="1" showErrorMessage="1" sqref="C29" xr:uid="{00000000-0002-0000-0600-000002000000}">
      <formula1>0</formula1>
      <formula2>999</formula2>
    </dataValidation>
    <dataValidation type="list" allowBlank="1" showInputMessage="1" showErrorMessage="1" sqref="C66:F66" xr:uid="{00000000-0002-0000-0600-000003000000}">
      <formula1>NKTarifkat</formula1>
    </dataValidation>
    <dataValidation type="list" allowBlank="1" showInputMessage="1" showErrorMessage="1" sqref="C5:F5" xr:uid="{00000000-0002-0000-0600-000004000000}">
      <formula1>Organisationseinheit</formula1>
    </dataValidation>
    <dataValidation type="list" allowBlank="1" showInputMessage="1" showErrorMessage="1" sqref="C35:E35" xr:uid="{00000000-0002-0000-0600-000005000000}">
      <formula1>Branche</formula1>
    </dataValidation>
    <dataValidation type="list" allowBlank="1" showInputMessage="1" showErrorMessage="1" sqref="C31:E31" xr:uid="{00000000-0002-0000-0600-000006000000}">
      <formula1>Bereich</formula1>
    </dataValidation>
    <dataValidation type="list" allowBlank="1" showInputMessage="1" showErrorMessage="1" sqref="C33:E33" xr:uid="{00000000-0002-0000-0600-000007000000}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">
    <pageSetUpPr fitToPage="1"/>
  </sheetPr>
  <dimension ref="A1:G81"/>
  <sheetViews>
    <sheetView showGridLines="0" tabSelected="1" zoomScale="115" zoomScaleNormal="115" workbookViewId="0">
      <selection activeCell="C17" sqref="C17:F17"/>
    </sheetView>
  </sheetViews>
  <sheetFormatPr baseColWidth="10" defaultColWidth="0" defaultRowHeight="13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999</v>
      </c>
      <c r="E29" s="39" t="s">
        <v>669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0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1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x14ac:dyDescent="0.15">
      <c r="A61" t="s">
        <v>15</v>
      </c>
      <c r="G61" s="14">
        <v>2</v>
      </c>
    </row>
    <row r="62" spans="1:7" ht="4" customHeight="1" x14ac:dyDescent="0.15"/>
    <row r="63" spans="1:7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x14ac:dyDescent="0.15">
      <c r="A65" t="s">
        <v>16</v>
      </c>
      <c r="C65" s="33"/>
      <c r="D65" s="33"/>
      <c r="E65" s="33"/>
      <c r="F65" s="33"/>
    </row>
    <row r="66" spans="1:7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x14ac:dyDescent="0.15">
      <c r="A72" t="s">
        <v>598</v>
      </c>
      <c r="B72" t="s">
        <v>12</v>
      </c>
      <c r="C72" s="15"/>
      <c r="E72" t="s">
        <v>605</v>
      </c>
    </row>
    <row r="73" spans="1:7" ht="14" customHeight="1" x14ac:dyDescent="0.15">
      <c r="B73" t="s">
        <v>13</v>
      </c>
      <c r="C73" s="15">
        <v>697</v>
      </c>
      <c r="E73" t="s">
        <v>606</v>
      </c>
    </row>
    <row r="74" spans="1:7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x14ac:dyDescent="0.15">
      <c r="A78" s="29" t="s">
        <v>646</v>
      </c>
      <c r="B78" s="28"/>
      <c r="C78" s="28"/>
      <c r="D78" s="28"/>
      <c r="E78" s="28"/>
      <c r="F78" s="28"/>
    </row>
    <row r="79" spans="1:7" x14ac:dyDescent="0.15">
      <c r="A79" s="30" t="str">
        <f>IF($G47=FALSE,"",TEXT($C$4,"0000")&amp;TEXT($C$29,"000"))</f>
        <v>9925999</v>
      </c>
      <c r="B79" s="28"/>
      <c r="C79" s="28"/>
      <c r="D79" s="28"/>
      <c r="E79" s="28"/>
      <c r="F79" s="28"/>
    </row>
    <row r="80" spans="1:7" x14ac:dyDescent="0.15">
      <c r="A80" s="29" t="s">
        <v>645</v>
      </c>
      <c r="B80" s="28"/>
      <c r="C80" s="28"/>
      <c r="D80" s="28"/>
      <c r="E80" s="28"/>
      <c r="F80" s="28"/>
    </row>
    <row r="81" spans="1:6" x14ac:dyDescent="0.15">
      <c r="A81" s="30" t="str">
        <f>IF($G47=FALSE,"",TEXT($C$6&amp;", "&amp;$C$7&amp;", "&amp;$E$29,))</f>
        <v>TBA BS, Kanalisation Zürcherstrasse, Nebenkosten nicht verrechenbar</v>
      </c>
      <c r="B81" s="28"/>
      <c r="C81" s="28"/>
      <c r="D81" s="28"/>
      <c r="E81" s="28"/>
      <c r="F81" s="28"/>
    </row>
  </sheetData>
  <sheetProtection password="CF77" sheet="1" objects="1" scenarios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 xr:uid="{00000000-0002-0000-0700-000000000000}">
      <formula1>Gebiet</formula1>
    </dataValidation>
    <dataValidation type="list" allowBlank="1" showInputMessage="1" showErrorMessage="1" sqref="C31:E31" xr:uid="{00000000-0002-0000-0700-000001000000}">
      <formula1>Bereich</formula1>
    </dataValidation>
    <dataValidation type="list" allowBlank="1" showInputMessage="1" showErrorMessage="1" sqref="C35:E35" xr:uid="{00000000-0002-0000-0700-000002000000}">
      <formula1>Branche</formula1>
    </dataValidation>
    <dataValidation type="list" allowBlank="1" showInputMessage="1" showErrorMessage="1" sqref="C5:F5" xr:uid="{00000000-0002-0000-0700-000003000000}">
      <formula1>Organisationseinheit</formula1>
    </dataValidation>
    <dataValidation type="list" allowBlank="1" showInputMessage="1" showErrorMessage="1" sqref="C66:F66" xr:uid="{00000000-0002-0000-0700-000004000000}">
      <formula1>NKTarifkat</formula1>
    </dataValidation>
    <dataValidation type="whole" allowBlank="1" showInputMessage="1" showErrorMessage="1" sqref="C29" xr:uid="{00000000-0002-0000-0700-000005000000}">
      <formula1>0</formula1>
      <formula2>999</formula2>
    </dataValidation>
    <dataValidation type="list" allowBlank="1" showInputMessage="1" showErrorMessage="1" sqref="E53" xr:uid="{00000000-0002-0000-0700-000006000000}">
      <formula1>RG_Ausloesung</formula1>
    </dataValidation>
    <dataValidation type="textLength" allowBlank="1" showInputMessage="1" showErrorMessage="1" sqref="C7" xr:uid="{00000000-0002-0000-0700-000007000000}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C21"/>
  <sheetViews>
    <sheetView workbookViewId="0">
      <selection activeCell="C4" sqref="C4:F4"/>
    </sheetView>
  </sheetViews>
  <sheetFormatPr baseColWidth="10" defaultRowHeight="13" x14ac:dyDescent="0.15"/>
  <cols>
    <col min="1" max="1" width="24.83203125" customWidth="1"/>
    <col min="3" max="3" width="19.6640625" customWidth="1"/>
  </cols>
  <sheetData>
    <row r="1" spans="1:3" x14ac:dyDescent="0.15">
      <c r="A1" t="s">
        <v>595</v>
      </c>
    </row>
    <row r="2" spans="1:3" x14ac:dyDescent="0.15">
      <c r="A2" t="str">
        <f>B2&amp;C2</f>
        <v>CH.SCHWEIZ</v>
      </c>
      <c r="B2" t="s">
        <v>234</v>
      </c>
      <c r="C2" t="s">
        <v>235</v>
      </c>
    </row>
    <row r="3" spans="1:3" x14ac:dyDescent="0.15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15">
      <c r="A4" t="str">
        <f t="shared" si="0"/>
        <v>CH.02.Kanton BL</v>
      </c>
      <c r="B4" t="s">
        <v>238</v>
      </c>
      <c r="C4" t="s">
        <v>239</v>
      </c>
    </row>
    <row r="5" spans="1:3" x14ac:dyDescent="0.15">
      <c r="A5" t="str">
        <f t="shared" si="0"/>
        <v>CH.03.Kanton AG</v>
      </c>
      <c r="B5" t="s">
        <v>240</v>
      </c>
      <c r="C5" t="s">
        <v>241</v>
      </c>
    </row>
    <row r="6" spans="1:3" x14ac:dyDescent="0.15">
      <c r="A6" t="str">
        <f t="shared" si="0"/>
        <v>CH.04.Kanton ZH</v>
      </c>
      <c r="B6" t="s">
        <v>242</v>
      </c>
      <c r="C6" t="s">
        <v>243</v>
      </c>
    </row>
    <row r="7" spans="1:3" x14ac:dyDescent="0.15">
      <c r="A7" t="str">
        <f t="shared" si="0"/>
        <v>CH.05.Kanton SO</v>
      </c>
      <c r="B7" t="s">
        <v>244</v>
      </c>
      <c r="C7" t="s">
        <v>245</v>
      </c>
    </row>
    <row r="8" spans="1:3" x14ac:dyDescent="0.15">
      <c r="A8" t="str">
        <f t="shared" si="0"/>
        <v>CH.06.Kanton LU</v>
      </c>
      <c r="B8" t="s">
        <v>246</v>
      </c>
      <c r="C8" t="s">
        <v>247</v>
      </c>
    </row>
    <row r="9" spans="1:3" x14ac:dyDescent="0.15">
      <c r="A9" t="str">
        <f t="shared" si="0"/>
        <v>CH.07.Kanton BE</v>
      </c>
      <c r="B9" t="s">
        <v>248</v>
      </c>
      <c r="C9" t="s">
        <v>249</v>
      </c>
    </row>
    <row r="10" spans="1:3" x14ac:dyDescent="0.15">
      <c r="A10" t="str">
        <f t="shared" si="0"/>
        <v>CH.08.Kanton SZ</v>
      </c>
      <c r="B10" t="s">
        <v>250</v>
      </c>
      <c r="C10" t="s">
        <v>251</v>
      </c>
    </row>
    <row r="11" spans="1:3" x14ac:dyDescent="0.15">
      <c r="A11" t="str">
        <f t="shared" si="0"/>
        <v>CH.20.Übrige Kantone</v>
      </c>
      <c r="B11" t="s">
        <v>252</v>
      </c>
      <c r="C11" t="s">
        <v>253</v>
      </c>
    </row>
    <row r="12" spans="1:3" x14ac:dyDescent="0.15">
      <c r="A12" t="str">
        <f t="shared" si="0"/>
        <v>D.DEUTSCHLAND</v>
      </c>
      <c r="B12" t="s">
        <v>254</v>
      </c>
      <c r="C12" t="s">
        <v>255</v>
      </c>
    </row>
    <row r="13" spans="1:3" x14ac:dyDescent="0.15">
      <c r="A13" t="str">
        <f t="shared" si="0"/>
        <v>D.01.Landkreis Lörrach</v>
      </c>
      <c r="B13" t="s">
        <v>256</v>
      </c>
      <c r="C13" t="s">
        <v>257</v>
      </c>
    </row>
    <row r="14" spans="1:3" x14ac:dyDescent="0.15">
      <c r="A14" t="str">
        <f t="shared" si="0"/>
        <v>D.02.Landkreis Freiburg</v>
      </c>
      <c r="B14" t="s">
        <v>258</v>
      </c>
      <c r="C14" t="s">
        <v>259</v>
      </c>
    </row>
    <row r="15" spans="1:3" x14ac:dyDescent="0.15">
      <c r="A15" t="str">
        <f t="shared" si="0"/>
        <v>D.03.Landkreis Waldshut</v>
      </c>
      <c r="B15" t="s">
        <v>260</v>
      </c>
      <c r="C15" t="s">
        <v>261</v>
      </c>
    </row>
    <row r="16" spans="1:3" x14ac:dyDescent="0.15">
      <c r="A16" t="str">
        <f t="shared" si="0"/>
        <v>D.09.Übrige Landkreise</v>
      </c>
      <c r="B16" t="s">
        <v>262</v>
      </c>
      <c r="C16" t="s">
        <v>263</v>
      </c>
    </row>
    <row r="17" spans="1:3" x14ac:dyDescent="0.15">
      <c r="A17" t="str">
        <f t="shared" si="0"/>
        <v>F.FRANKREICH</v>
      </c>
      <c r="B17" t="s">
        <v>264</v>
      </c>
      <c r="C17" t="s">
        <v>265</v>
      </c>
    </row>
    <row r="18" spans="1:3" x14ac:dyDescent="0.15">
      <c r="A18" t="str">
        <f t="shared" si="0"/>
        <v>F.01.Dep. Bas Rhin</v>
      </c>
      <c r="B18" t="s">
        <v>266</v>
      </c>
      <c r="C18" t="s">
        <v>267</v>
      </c>
    </row>
    <row r="19" spans="1:3" x14ac:dyDescent="0.15">
      <c r="A19" t="str">
        <f t="shared" si="0"/>
        <v>F.02.Dep. Haut Rhin</v>
      </c>
      <c r="B19" t="s">
        <v>268</v>
      </c>
      <c r="C19" t="s">
        <v>269</v>
      </c>
    </row>
    <row r="20" spans="1:3" x14ac:dyDescent="0.15">
      <c r="A20" t="str">
        <f t="shared" si="0"/>
        <v>F.09.Übrige Dep.</v>
      </c>
      <c r="B20" t="s">
        <v>270</v>
      </c>
      <c r="C20" t="s">
        <v>271</v>
      </c>
    </row>
    <row r="21" spans="1:3" x14ac:dyDescent="0.15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D94"/>
  <sheetViews>
    <sheetView workbookViewId="0">
      <selection activeCell="C4" sqref="C4:F4"/>
    </sheetView>
  </sheetViews>
  <sheetFormatPr baseColWidth="10" defaultRowHeight="13" x14ac:dyDescent="0.15"/>
  <cols>
    <col min="1" max="1" width="47.1640625" bestFit="1" customWidth="1"/>
    <col min="2" max="2" width="8.6640625" style="1" customWidth="1"/>
    <col min="3" max="3" width="25.1640625" bestFit="1" customWidth="1"/>
    <col min="4" max="4" width="43.33203125" bestFit="1" customWidth="1"/>
  </cols>
  <sheetData>
    <row r="1" spans="1:4" x14ac:dyDescent="0.15">
      <c r="A1" t="s">
        <v>595</v>
      </c>
    </row>
    <row r="2" spans="1:4" x14ac:dyDescent="0.1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1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1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1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1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1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1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1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15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15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1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15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1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1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15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1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1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1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1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1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15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1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1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15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15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15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15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1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1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1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15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1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1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15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1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15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1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15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1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15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15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15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15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15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15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15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15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15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15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15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15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15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15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15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15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15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15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15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15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15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15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15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15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15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15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15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15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15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15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15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15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15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15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15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15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15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15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15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15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15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15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15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15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15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15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15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15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15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15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15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15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15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15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4"/>
  <dimension ref="A1:C181"/>
  <sheetViews>
    <sheetView workbookViewId="0">
      <selection activeCell="C4" sqref="C4:F4"/>
    </sheetView>
  </sheetViews>
  <sheetFormatPr baseColWidth="10" defaultRowHeight="13" x14ac:dyDescent="0.15"/>
  <cols>
    <col min="1" max="1" width="53.83203125" bestFit="1" customWidth="1"/>
    <col min="2" max="2" width="8.5" style="1" customWidth="1"/>
  </cols>
  <sheetData>
    <row r="1" spans="1:3" x14ac:dyDescent="0.15">
      <c r="A1" t="s">
        <v>595</v>
      </c>
    </row>
    <row r="2" spans="1:3" x14ac:dyDescent="0.15">
      <c r="A2" t="str">
        <f>B2&amp;" "&amp;C2</f>
        <v>1 BUNDESÄMTER</v>
      </c>
      <c r="B2" s="1">
        <v>1</v>
      </c>
      <c r="C2" t="s">
        <v>274</v>
      </c>
    </row>
    <row r="3" spans="1:3" x14ac:dyDescent="0.15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15">
      <c r="A4" t="str">
        <f t="shared" si="0"/>
        <v>1.2. NSNW AG</v>
      </c>
      <c r="B4" s="1" t="s">
        <v>22</v>
      </c>
      <c r="C4" t="s">
        <v>276</v>
      </c>
    </row>
    <row r="5" spans="1:3" x14ac:dyDescent="0.15">
      <c r="A5" t="str">
        <f t="shared" si="0"/>
        <v>1.9. Übrige Bundesämter</v>
      </c>
      <c r="B5" s="1" t="s">
        <v>40</v>
      </c>
      <c r="C5" t="s">
        <v>277</v>
      </c>
    </row>
    <row r="6" spans="1:3" x14ac:dyDescent="0.15">
      <c r="A6" t="str">
        <f t="shared" si="0"/>
        <v>2 KANTONALE ÄMTER</v>
      </c>
      <c r="B6" s="1">
        <v>2</v>
      </c>
      <c r="C6" t="s">
        <v>278</v>
      </c>
    </row>
    <row r="7" spans="1:3" x14ac:dyDescent="0.1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15">
      <c r="A8" t="str">
        <f t="shared" si="0"/>
        <v>2.1.1. Tiefbauämter</v>
      </c>
      <c r="B8" s="1" t="s">
        <v>281</v>
      </c>
      <c r="C8" t="s">
        <v>282</v>
      </c>
    </row>
    <row r="9" spans="1:3" x14ac:dyDescent="0.15">
      <c r="A9" t="str">
        <f t="shared" si="0"/>
        <v>2.1.2. Hochbauämter</v>
      </c>
      <c r="B9" s="1" t="s">
        <v>283</v>
      </c>
      <c r="C9" t="s">
        <v>284</v>
      </c>
    </row>
    <row r="10" spans="1:3" x14ac:dyDescent="0.15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15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1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15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1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15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15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15">
      <c r="A17" t="str">
        <f t="shared" si="0"/>
        <v>3 GEMEINDEN</v>
      </c>
      <c r="B17" s="1">
        <v>3</v>
      </c>
      <c r="C17" t="s">
        <v>299</v>
      </c>
    </row>
    <row r="18" spans="1:3" x14ac:dyDescent="0.15">
      <c r="A18" t="str">
        <f t="shared" si="0"/>
        <v>3.0 KANTON BS</v>
      </c>
      <c r="B18" s="2" t="s">
        <v>300</v>
      </c>
      <c r="C18" t="s">
        <v>301</v>
      </c>
    </row>
    <row r="19" spans="1:3" x14ac:dyDescent="0.15">
      <c r="A19" t="str">
        <f t="shared" si="0"/>
        <v>3.0.1. Basel</v>
      </c>
      <c r="B19" s="1" t="s">
        <v>302</v>
      </c>
      <c r="C19" t="s">
        <v>303</v>
      </c>
    </row>
    <row r="20" spans="1:3" x14ac:dyDescent="0.15">
      <c r="A20" t="str">
        <f t="shared" si="0"/>
        <v>3.0.2. Bettingen</v>
      </c>
      <c r="B20" s="1" t="s">
        <v>304</v>
      </c>
      <c r="C20" t="s">
        <v>305</v>
      </c>
    </row>
    <row r="21" spans="1:3" x14ac:dyDescent="0.15">
      <c r="A21" t="str">
        <f t="shared" si="0"/>
        <v>3.0.3. Riehen</v>
      </c>
      <c r="B21" s="1" t="s">
        <v>306</v>
      </c>
      <c r="C21" t="s">
        <v>307</v>
      </c>
    </row>
    <row r="22" spans="1:3" x14ac:dyDescent="0.15">
      <c r="A22" t="str">
        <f t="shared" si="0"/>
        <v>3.1. KANTON BL</v>
      </c>
      <c r="B22" s="1" t="s">
        <v>71</v>
      </c>
      <c r="C22" t="s">
        <v>308</v>
      </c>
    </row>
    <row r="23" spans="1:3" x14ac:dyDescent="0.15">
      <c r="A23" t="str">
        <f t="shared" si="0"/>
        <v>3.1.01. Aesch</v>
      </c>
      <c r="B23" s="1" t="s">
        <v>309</v>
      </c>
      <c r="C23" t="s">
        <v>310</v>
      </c>
    </row>
    <row r="24" spans="1:3" x14ac:dyDescent="0.15">
      <c r="A24" t="str">
        <f t="shared" si="0"/>
        <v>3.1.02. Binningen</v>
      </c>
      <c r="B24" s="1" t="s">
        <v>311</v>
      </c>
      <c r="C24" t="s">
        <v>312</v>
      </c>
    </row>
    <row r="25" spans="1:3" x14ac:dyDescent="0.15">
      <c r="A25" t="str">
        <f t="shared" si="0"/>
        <v>3.1.03. Birsfelden</v>
      </c>
      <c r="B25" s="1" t="s">
        <v>313</v>
      </c>
      <c r="C25" t="s">
        <v>314</v>
      </c>
    </row>
    <row r="26" spans="1:3" x14ac:dyDescent="0.15">
      <c r="A26" t="str">
        <f t="shared" si="0"/>
        <v>3.1.04. Duggingen</v>
      </c>
      <c r="B26" s="1" t="s">
        <v>315</v>
      </c>
      <c r="C26" t="s">
        <v>316</v>
      </c>
    </row>
    <row r="27" spans="1:3" x14ac:dyDescent="0.15">
      <c r="A27" t="str">
        <f t="shared" si="0"/>
        <v>3.1.05. Nusshof</v>
      </c>
      <c r="B27" s="1" t="s">
        <v>317</v>
      </c>
      <c r="C27" t="s">
        <v>318</v>
      </c>
    </row>
    <row r="28" spans="1:3" x14ac:dyDescent="0.15">
      <c r="A28" t="str">
        <f t="shared" si="0"/>
        <v>3.1.06. Reinach</v>
      </c>
      <c r="B28" s="1" t="s">
        <v>319</v>
      </c>
      <c r="C28" t="s">
        <v>320</v>
      </c>
    </row>
    <row r="29" spans="1:3" x14ac:dyDescent="0.15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15">
      <c r="A30" t="str">
        <f t="shared" si="0"/>
        <v>3.2. KANTON AG</v>
      </c>
      <c r="B30" s="1" t="s">
        <v>74</v>
      </c>
      <c r="C30" t="s">
        <v>323</v>
      </c>
    </row>
    <row r="31" spans="1:3" x14ac:dyDescent="0.15">
      <c r="A31" t="str">
        <f t="shared" si="0"/>
        <v>3.2.01. Hellikon</v>
      </c>
      <c r="B31" s="1" t="s">
        <v>324</v>
      </c>
      <c r="C31" t="s">
        <v>325</v>
      </c>
    </row>
    <row r="32" spans="1:3" x14ac:dyDescent="0.15">
      <c r="A32" t="str">
        <f t="shared" si="0"/>
        <v>3.2.02. Magden</v>
      </c>
      <c r="B32" s="1" t="s">
        <v>326</v>
      </c>
      <c r="C32" t="s">
        <v>327</v>
      </c>
    </row>
    <row r="33" spans="1:3" x14ac:dyDescent="0.15">
      <c r="A33" t="str">
        <f t="shared" si="0"/>
        <v>3.2.03. Möhlin</v>
      </c>
      <c r="B33" s="1" t="s">
        <v>328</v>
      </c>
      <c r="C33" t="s">
        <v>329</v>
      </c>
    </row>
    <row r="34" spans="1:3" x14ac:dyDescent="0.15">
      <c r="A34" t="str">
        <f t="shared" si="0"/>
        <v>3.2.04. Mumpf</v>
      </c>
      <c r="B34" s="1" t="s">
        <v>330</v>
      </c>
      <c r="C34" t="s">
        <v>331</v>
      </c>
    </row>
    <row r="35" spans="1:3" x14ac:dyDescent="0.15">
      <c r="A35" t="str">
        <f t="shared" si="0"/>
        <v>3.2.05. Olsberg</v>
      </c>
      <c r="B35" s="1" t="s">
        <v>332</v>
      </c>
      <c r="C35" t="s">
        <v>333</v>
      </c>
    </row>
    <row r="36" spans="1:3" x14ac:dyDescent="0.15">
      <c r="A36" t="str">
        <f t="shared" si="0"/>
        <v>3.2.06. Rheinfelden</v>
      </c>
      <c r="B36" s="1" t="s">
        <v>334</v>
      </c>
      <c r="C36" t="s">
        <v>335</v>
      </c>
    </row>
    <row r="37" spans="1:3" x14ac:dyDescent="0.15">
      <c r="A37" t="str">
        <f t="shared" si="0"/>
        <v>3.2.07. Wegenstetten</v>
      </c>
      <c r="B37" s="1" t="s">
        <v>336</v>
      </c>
      <c r="C37" t="s">
        <v>337</v>
      </c>
    </row>
    <row r="38" spans="1:3" x14ac:dyDescent="0.15">
      <c r="A38" t="str">
        <f t="shared" si="0"/>
        <v>3.2.08. Zeiningen</v>
      </c>
      <c r="B38" s="1" t="s">
        <v>338</v>
      </c>
      <c r="C38" t="s">
        <v>339</v>
      </c>
    </row>
    <row r="39" spans="1:3" x14ac:dyDescent="0.15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15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15">
      <c r="A41" t="str">
        <f t="shared" si="0"/>
        <v>4 WERKE</v>
      </c>
      <c r="B41" s="1">
        <v>4</v>
      </c>
      <c r="C41" t="s">
        <v>343</v>
      </c>
    </row>
    <row r="42" spans="1:3" x14ac:dyDescent="0.15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15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15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15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15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15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15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15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15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15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15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15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15">
      <c r="A54" t="str">
        <f t="shared" si="0"/>
        <v>4.3. FERNWÄRME</v>
      </c>
      <c r="B54" s="1" t="s">
        <v>99</v>
      </c>
      <c r="C54" t="s">
        <v>365</v>
      </c>
    </row>
    <row r="55" spans="1:3" x14ac:dyDescent="0.15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15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15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15">
      <c r="A58" t="str">
        <f t="shared" si="0"/>
        <v>4.4. ABWASSER</v>
      </c>
      <c r="B58" s="1" t="s">
        <v>101</v>
      </c>
      <c r="C58" t="s">
        <v>371</v>
      </c>
    </row>
    <row r="59" spans="1:3" x14ac:dyDescent="0.15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15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15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15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15">
      <c r="A63" t="str">
        <f t="shared" si="0"/>
        <v>4.5. GAS</v>
      </c>
      <c r="B63" s="1" t="s">
        <v>103</v>
      </c>
      <c r="C63" t="s">
        <v>380</v>
      </c>
    </row>
    <row r="64" spans="1:3" x14ac:dyDescent="0.15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15">
      <c r="A65" t="str">
        <f t="shared" si="0"/>
        <v>4.5.9. Übrige Gas</v>
      </c>
      <c r="B65" s="1" t="s">
        <v>382</v>
      </c>
      <c r="C65" t="s">
        <v>383</v>
      </c>
    </row>
    <row r="66" spans="1:3" x14ac:dyDescent="0.15">
      <c r="A66" t="str">
        <f t="shared" si="0"/>
        <v>4.9. ÜBRIGE WERKE</v>
      </c>
      <c r="B66" s="1" t="s">
        <v>105</v>
      </c>
      <c r="C66" t="s">
        <v>384</v>
      </c>
    </row>
    <row r="67" spans="1:3" x14ac:dyDescent="0.15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15">
      <c r="A68" t="str">
        <f t="shared" si="1"/>
        <v>5.1. BANKEN</v>
      </c>
      <c r="B68" s="1" t="s">
        <v>108</v>
      </c>
      <c r="C68" t="s">
        <v>386</v>
      </c>
    </row>
    <row r="69" spans="1:3" x14ac:dyDescent="0.15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15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15">
      <c r="A71" t="str">
        <f t="shared" si="1"/>
        <v>5.1.3. UBS</v>
      </c>
      <c r="B71" s="1" t="s">
        <v>115</v>
      </c>
      <c r="C71" t="s">
        <v>389</v>
      </c>
    </row>
    <row r="72" spans="1:3" x14ac:dyDescent="0.15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15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15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15">
      <c r="A75" t="str">
        <f t="shared" si="1"/>
        <v>5.2. VERSICHERUNGEN</v>
      </c>
      <c r="B75" s="1" t="s">
        <v>131</v>
      </c>
      <c r="C75" t="s">
        <v>393</v>
      </c>
    </row>
    <row r="76" spans="1:3" x14ac:dyDescent="0.15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15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15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15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15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15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15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15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15">
      <c r="A84" t="str">
        <f t="shared" si="1"/>
        <v>5.4.1. Swisscom</v>
      </c>
      <c r="B84" s="1" t="s">
        <v>167</v>
      </c>
      <c r="C84" t="s">
        <v>402</v>
      </c>
    </row>
    <row r="85" spans="1:3" x14ac:dyDescent="0.15">
      <c r="A85" t="str">
        <f t="shared" si="1"/>
        <v>5.4.2. Orange</v>
      </c>
      <c r="B85" s="1" t="s">
        <v>170</v>
      </c>
      <c r="C85" t="s">
        <v>403</v>
      </c>
    </row>
    <row r="86" spans="1:3" x14ac:dyDescent="0.15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15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15">
      <c r="A88" t="str">
        <f t="shared" si="1"/>
        <v>5.5.1. Messe Basel</v>
      </c>
      <c r="B88" s="1" t="s">
        <v>188</v>
      </c>
      <c r="C88" t="s">
        <v>406</v>
      </c>
    </row>
    <row r="89" spans="1:3" x14ac:dyDescent="0.15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15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15">
      <c r="A91" t="str">
        <f t="shared" si="1"/>
        <v>5.6. GENERALPLANER</v>
      </c>
      <c r="B91" s="1" t="s">
        <v>197</v>
      </c>
      <c r="C91" t="s">
        <v>409</v>
      </c>
    </row>
    <row r="92" spans="1:3" x14ac:dyDescent="0.15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15">
      <c r="A93" t="str">
        <f t="shared" si="1"/>
        <v>6 ÖFFENTLICHER VERKEHR</v>
      </c>
      <c r="B93" s="1">
        <v>6</v>
      </c>
      <c r="C93" t="s">
        <v>412</v>
      </c>
    </row>
    <row r="94" spans="1:3" x14ac:dyDescent="0.15">
      <c r="A94" t="str">
        <f t="shared" si="1"/>
        <v>6.1. SBB</v>
      </c>
      <c r="B94" s="1" t="s">
        <v>413</v>
      </c>
      <c r="C94" t="s">
        <v>414</v>
      </c>
    </row>
    <row r="95" spans="1:3" x14ac:dyDescent="0.15">
      <c r="A95" t="str">
        <f t="shared" si="1"/>
        <v>6.2. DB</v>
      </c>
      <c r="B95" s="1" t="s">
        <v>415</v>
      </c>
      <c r="C95" t="s">
        <v>416</v>
      </c>
    </row>
    <row r="96" spans="1:3" x14ac:dyDescent="0.15">
      <c r="A96" t="str">
        <f t="shared" si="1"/>
        <v>6.3. BVB</v>
      </c>
      <c r="B96" s="1" t="s">
        <v>417</v>
      </c>
      <c r="C96" t="s">
        <v>418</v>
      </c>
    </row>
    <row r="97" spans="1:3" x14ac:dyDescent="0.15">
      <c r="A97" t="str">
        <f t="shared" si="1"/>
        <v>6.4. BLT</v>
      </c>
      <c r="B97" s="1" t="s">
        <v>419</v>
      </c>
      <c r="C97" t="s">
        <v>420</v>
      </c>
    </row>
    <row r="98" spans="1:3" x14ac:dyDescent="0.15">
      <c r="A98" t="str">
        <f t="shared" si="1"/>
        <v>6.5. EuroAirport</v>
      </c>
      <c r="B98" s="1" t="s">
        <v>421</v>
      </c>
      <c r="C98" t="s">
        <v>422</v>
      </c>
    </row>
    <row r="99" spans="1:3" x14ac:dyDescent="0.15">
      <c r="A99" t="str">
        <f t="shared" si="1"/>
        <v>6.7 BLS</v>
      </c>
      <c r="B99" s="1">
        <v>6.7</v>
      </c>
      <c r="C99" t="s">
        <v>423</v>
      </c>
    </row>
    <row r="100" spans="1:3" x14ac:dyDescent="0.15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15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15">
      <c r="A102" t="str">
        <f t="shared" si="1"/>
        <v>7 INDUSTRIE/HANDEL</v>
      </c>
      <c r="B102" s="1">
        <v>7</v>
      </c>
      <c r="C102" t="s">
        <v>428</v>
      </c>
    </row>
    <row r="103" spans="1:3" x14ac:dyDescent="0.15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15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15">
      <c r="A105" t="str">
        <f t="shared" si="1"/>
        <v>7.1.02. AVIA</v>
      </c>
      <c r="B105" s="1" t="s">
        <v>433</v>
      </c>
      <c r="C105" t="s">
        <v>434</v>
      </c>
    </row>
    <row r="106" spans="1:3" x14ac:dyDescent="0.15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15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15">
      <c r="A108" t="str">
        <f t="shared" si="1"/>
        <v>7.1.05. BP</v>
      </c>
      <c r="B108" s="1" t="s">
        <v>439</v>
      </c>
      <c r="C108" t="s">
        <v>440</v>
      </c>
    </row>
    <row r="109" spans="1:3" x14ac:dyDescent="0.15">
      <c r="A109" t="str">
        <f t="shared" si="1"/>
        <v>7.1.06. Varo</v>
      </c>
      <c r="B109" s="1" t="s">
        <v>441</v>
      </c>
      <c r="C109" t="s">
        <v>442</v>
      </c>
    </row>
    <row r="110" spans="1:3" x14ac:dyDescent="0.15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15">
      <c r="A111" t="str">
        <f t="shared" si="1"/>
        <v>7.1.08. Rhenus</v>
      </c>
      <c r="B111" s="1" t="s">
        <v>445</v>
      </c>
      <c r="C111" t="s">
        <v>446</v>
      </c>
    </row>
    <row r="112" spans="1:3" x14ac:dyDescent="0.15">
      <c r="A112" t="str">
        <f t="shared" si="1"/>
        <v>7.1.09. Rhytank</v>
      </c>
      <c r="B112" s="1" t="s">
        <v>447</v>
      </c>
      <c r="C112" t="s">
        <v>448</v>
      </c>
    </row>
    <row r="113" spans="1:3" x14ac:dyDescent="0.15">
      <c r="A113" t="str">
        <f t="shared" si="1"/>
        <v>7.1.10. Contargo</v>
      </c>
      <c r="B113" s="1" t="s">
        <v>449</v>
      </c>
      <c r="C113" t="s">
        <v>450</v>
      </c>
    </row>
    <row r="114" spans="1:3" x14ac:dyDescent="0.15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15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15">
      <c r="A116" t="str">
        <f t="shared" si="1"/>
        <v>7.1.13. Landor</v>
      </c>
      <c r="B116" s="1" t="s">
        <v>455</v>
      </c>
      <c r="C116" t="s">
        <v>456</v>
      </c>
    </row>
    <row r="117" spans="1:3" x14ac:dyDescent="0.15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15">
      <c r="A118" t="str">
        <f t="shared" si="1"/>
        <v>7.2. CHEMIE</v>
      </c>
      <c r="B118" s="1" t="s">
        <v>459</v>
      </c>
      <c r="C118" t="s">
        <v>460</v>
      </c>
    </row>
    <row r="119" spans="1:3" x14ac:dyDescent="0.15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15">
      <c r="A120" t="str">
        <f t="shared" si="1"/>
        <v>7.2.2. Novartis</v>
      </c>
      <c r="B120" s="1" t="s">
        <v>463</v>
      </c>
      <c r="C120" t="s">
        <v>464</v>
      </c>
    </row>
    <row r="121" spans="1:3" x14ac:dyDescent="0.15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15">
      <c r="A122" t="str">
        <f t="shared" si="1"/>
        <v>7.2.4. Lonza</v>
      </c>
      <c r="B122" s="1" t="s">
        <v>467</v>
      </c>
      <c r="C122" t="s">
        <v>468</v>
      </c>
    </row>
    <row r="123" spans="1:3" x14ac:dyDescent="0.15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15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15">
      <c r="A125" t="str">
        <f t="shared" si="1"/>
        <v>7.2.7. Clariant</v>
      </c>
      <c r="B125" s="1" t="s">
        <v>473</v>
      </c>
      <c r="C125" t="s">
        <v>474</v>
      </c>
    </row>
    <row r="126" spans="1:3" x14ac:dyDescent="0.15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15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15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15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15">
      <c r="A130" t="str">
        <f t="shared" si="2"/>
        <v>7.3.3. Stamm AG</v>
      </c>
      <c r="B130" s="1" t="s">
        <v>483</v>
      </c>
      <c r="C130" t="s">
        <v>484</v>
      </c>
    </row>
    <row r="131" spans="1:3" x14ac:dyDescent="0.15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15">
      <c r="A132" t="str">
        <f t="shared" si="2"/>
        <v>7.3.5. Batigroup</v>
      </c>
      <c r="B132" s="1" t="s">
        <v>487</v>
      </c>
      <c r="C132" t="s">
        <v>488</v>
      </c>
    </row>
    <row r="133" spans="1:3" x14ac:dyDescent="0.15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15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15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15">
      <c r="A136" t="str">
        <f t="shared" si="2"/>
        <v>7.4.1. Migros</v>
      </c>
      <c r="B136" s="1" t="s">
        <v>495</v>
      </c>
      <c r="C136" t="s">
        <v>496</v>
      </c>
    </row>
    <row r="137" spans="1:3" x14ac:dyDescent="0.15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15">
      <c r="A138" t="str">
        <f t="shared" si="2"/>
        <v>7.4.3. Globus</v>
      </c>
      <c r="B138" s="1" t="s">
        <v>499</v>
      </c>
      <c r="C138" t="s">
        <v>500</v>
      </c>
    </row>
    <row r="139" spans="1:3" x14ac:dyDescent="0.15">
      <c r="A139" t="str">
        <f t="shared" si="2"/>
        <v>7.4.5. Manor</v>
      </c>
      <c r="B139" s="1" t="s">
        <v>501</v>
      </c>
      <c r="C139" t="s">
        <v>502</v>
      </c>
    </row>
    <row r="140" spans="1:3" x14ac:dyDescent="0.15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15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15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15">
      <c r="A143" t="str">
        <f t="shared" si="2"/>
        <v>7.9.9. Übrige</v>
      </c>
      <c r="B143" s="1" t="s">
        <v>509</v>
      </c>
      <c r="C143" t="s">
        <v>67</v>
      </c>
    </row>
    <row r="144" spans="1:3" x14ac:dyDescent="0.15">
      <c r="A144" t="str">
        <f t="shared" si="2"/>
        <v>8 ARCHITEKTEN</v>
      </c>
      <c r="B144" s="1">
        <v>8</v>
      </c>
      <c r="C144" t="s">
        <v>510</v>
      </c>
    </row>
    <row r="145" spans="1:3" x14ac:dyDescent="0.15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15">
      <c r="A146" t="str">
        <f t="shared" si="2"/>
        <v>8.02. Arcoplan</v>
      </c>
      <c r="B146" s="1" t="s">
        <v>513</v>
      </c>
      <c r="C146" t="s">
        <v>514</v>
      </c>
    </row>
    <row r="147" spans="1:3" x14ac:dyDescent="0.15">
      <c r="A147" t="str">
        <f t="shared" si="2"/>
        <v>8.03. Baader</v>
      </c>
      <c r="B147" s="1" t="s">
        <v>515</v>
      </c>
      <c r="C147" t="s">
        <v>516</v>
      </c>
    </row>
    <row r="148" spans="1:3" x14ac:dyDescent="0.15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15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15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15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15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15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15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15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15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15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15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15">
      <c r="A159" t="str">
        <f t="shared" si="2"/>
        <v>8.15. Furrer R.</v>
      </c>
      <c r="B159" s="1" t="s">
        <v>539</v>
      </c>
      <c r="C159" t="s">
        <v>540</v>
      </c>
    </row>
    <row r="160" spans="1:3" x14ac:dyDescent="0.15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15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15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15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15">
      <c r="A164" t="str">
        <f t="shared" si="2"/>
        <v>8.20. Hotz Theo</v>
      </c>
      <c r="B164" s="1" t="s">
        <v>549</v>
      </c>
      <c r="C164" t="s">
        <v>550</v>
      </c>
    </row>
    <row r="165" spans="1:3" x14ac:dyDescent="0.15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15">
      <c r="A166" t="str">
        <f t="shared" si="2"/>
        <v>8.22. Meyer S.</v>
      </c>
      <c r="B166" s="1" t="s">
        <v>553</v>
      </c>
      <c r="C166" t="s">
        <v>554</v>
      </c>
    </row>
    <row r="167" spans="1:3" x14ac:dyDescent="0.15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15">
      <c r="A168" t="str">
        <f t="shared" si="2"/>
        <v>8.24. Oplatek J.</v>
      </c>
      <c r="B168" s="1" t="s">
        <v>557</v>
      </c>
      <c r="C168" t="s">
        <v>558</v>
      </c>
    </row>
    <row r="169" spans="1:3" x14ac:dyDescent="0.15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15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15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15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15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15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15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15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15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15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15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15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15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5"/>
  <dimension ref="A1:C9"/>
  <sheetViews>
    <sheetView workbookViewId="0">
      <selection activeCell="C4" sqref="C4:F4"/>
    </sheetView>
  </sheetViews>
  <sheetFormatPr baseColWidth="10" defaultRowHeight="13" x14ac:dyDescent="0.15"/>
  <cols>
    <col min="1" max="1" width="31" customWidth="1"/>
    <col min="2" max="2" width="11.6640625" customWidth="1"/>
    <col min="3" max="3" width="25.5" bestFit="1" customWidth="1"/>
  </cols>
  <sheetData>
    <row r="1" spans="1:3" x14ac:dyDescent="0.15">
      <c r="A1" t="s">
        <v>595</v>
      </c>
    </row>
    <row r="2" spans="1:3" x14ac:dyDescent="0.15">
      <c r="A2" t="str">
        <f t="shared" ref="A2:A8" si="0">CONCATENATE(B2," ",C2)</f>
        <v>A.B.BH. Bautenerhalt und Geomatik</v>
      </c>
      <c r="B2" s="3" t="s">
        <v>586</v>
      </c>
      <c r="C2" s="3" t="s">
        <v>622</v>
      </c>
    </row>
    <row r="3" spans="1:3" x14ac:dyDescent="0.15">
      <c r="A3" t="str">
        <f t="shared" si="0"/>
        <v>A.B.IBB. Ingenieurbau und Bahnbau</v>
      </c>
      <c r="B3" s="3" t="s">
        <v>630</v>
      </c>
      <c r="C3" s="3" t="s">
        <v>623</v>
      </c>
    </row>
    <row r="4" spans="1:3" x14ac:dyDescent="0.15">
      <c r="A4" t="str">
        <f t="shared" si="0"/>
        <v>A.B.PM. Projektmanagement und Generalplanung</v>
      </c>
      <c r="B4" s="3" t="s">
        <v>587</v>
      </c>
      <c r="C4" s="3" t="s">
        <v>624</v>
      </c>
    </row>
    <row r="5" spans="1:3" x14ac:dyDescent="0.15">
      <c r="A5" t="str">
        <f t="shared" si="0"/>
        <v>A.B.T2AG. Niederlassung Möhlin</v>
      </c>
      <c r="B5" s="3" t="s">
        <v>588</v>
      </c>
      <c r="C5" s="3" t="s">
        <v>625</v>
      </c>
    </row>
    <row r="6" spans="1:3" x14ac:dyDescent="0.15">
      <c r="A6" t="str">
        <f t="shared" si="0"/>
        <v>A.B.TB. Tiefbau</v>
      </c>
      <c r="B6" s="3" t="s">
        <v>589</v>
      </c>
      <c r="C6" s="3" t="s">
        <v>590</v>
      </c>
    </row>
    <row r="7" spans="1:3" x14ac:dyDescent="0.15">
      <c r="A7" t="str">
        <f t="shared" si="0"/>
        <v>A.B.VK. Verkehr und Umwelt</v>
      </c>
      <c r="B7" s="3" t="s">
        <v>591</v>
      </c>
      <c r="C7" s="3" t="s">
        <v>626</v>
      </c>
    </row>
    <row r="8" spans="1:3" x14ac:dyDescent="0.15">
      <c r="A8" t="str">
        <f t="shared" si="0"/>
        <v>A.B.ZD. Zentrale Dienste</v>
      </c>
      <c r="B8" s="3" t="s">
        <v>592</v>
      </c>
      <c r="C8" s="3" t="s">
        <v>593</v>
      </c>
    </row>
    <row r="9" spans="1:3" x14ac:dyDescent="0.15">
      <c r="B9" s="4"/>
      <c r="C9" s="4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6"/>
  <dimension ref="A1:A9"/>
  <sheetViews>
    <sheetView workbookViewId="0">
      <selection activeCell="C4" sqref="C4:F4"/>
    </sheetView>
  </sheetViews>
  <sheetFormatPr baseColWidth="10" defaultRowHeight="13" x14ac:dyDescent="0.15"/>
  <cols>
    <col min="1" max="1" width="37.83203125" customWidth="1"/>
  </cols>
  <sheetData>
    <row r="1" spans="1:1" x14ac:dyDescent="0.15">
      <c r="A1" t="s">
        <v>595</v>
      </c>
    </row>
    <row r="2" spans="1:1" x14ac:dyDescent="0.15">
      <c r="A2" t="s">
        <v>599</v>
      </c>
    </row>
    <row r="3" spans="1:1" x14ac:dyDescent="0.15">
      <c r="A3" t="s">
        <v>609</v>
      </c>
    </row>
    <row r="4" spans="1:1" x14ac:dyDescent="0.15">
      <c r="A4" t="s">
        <v>610</v>
      </c>
    </row>
    <row r="5" spans="1:1" x14ac:dyDescent="0.15">
      <c r="A5" t="s">
        <v>600</v>
      </c>
    </row>
    <row r="6" spans="1:1" x14ac:dyDescent="0.15">
      <c r="A6" t="s">
        <v>601</v>
      </c>
    </row>
    <row r="7" spans="1:1" x14ac:dyDescent="0.15">
      <c r="A7" t="s">
        <v>602</v>
      </c>
    </row>
    <row r="8" spans="1:1" x14ac:dyDescent="0.15">
      <c r="A8" t="s">
        <v>603</v>
      </c>
    </row>
    <row r="9" spans="1:1" x14ac:dyDescent="0.15">
      <c r="A9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7"/>
  <dimension ref="A1:A6"/>
  <sheetViews>
    <sheetView workbookViewId="0">
      <selection activeCell="C4" sqref="C4:F4"/>
    </sheetView>
  </sheetViews>
  <sheetFormatPr baseColWidth="10" defaultRowHeight="13" x14ac:dyDescent="0.15"/>
  <sheetData>
    <row r="1" spans="1:1" x14ac:dyDescent="0.15">
      <c r="A1" t="s">
        <v>595</v>
      </c>
    </row>
    <row r="2" spans="1:1" x14ac:dyDescent="0.15">
      <c r="A2" t="s">
        <v>613</v>
      </c>
    </row>
    <row r="3" spans="1:1" x14ac:dyDescent="0.15">
      <c r="A3" t="s">
        <v>614</v>
      </c>
    </row>
    <row r="4" spans="1:1" x14ac:dyDescent="0.15">
      <c r="A4" t="s">
        <v>615</v>
      </c>
    </row>
    <row r="5" spans="1:1" x14ac:dyDescent="0.15">
      <c r="A5" t="s">
        <v>616</v>
      </c>
    </row>
    <row r="6" spans="1:1" x14ac:dyDescent="0.15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15</vt:i4>
      </vt:variant>
    </vt:vector>
  </HeadingPairs>
  <TitlesOfParts>
    <vt:vector size="29" baseType="lpstr">
      <vt:lpstr>.Index100</vt:lpstr>
      <vt:lpstr>.Index200</vt:lpstr>
      <vt:lpstr>.Index300</vt:lpstr>
      <vt:lpstr>.Index400</vt:lpstr>
      <vt:lpstr>.Index500</vt:lpstr>
      <vt:lpstr>.Index600</vt:lpstr>
      <vt:lpstr>.Index700</vt:lpstr>
      <vt:lpstr>.Index999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'.Index100'!Druckbereich</vt:lpstr>
      <vt:lpstr>'.Index200'!Druckbereich</vt:lpstr>
      <vt:lpstr>'.Index300'!Druckbereich</vt:lpstr>
      <vt:lpstr>'.Index400'!Druckbereich</vt:lpstr>
      <vt:lpstr>'.Index500'!Druckbereich</vt:lpstr>
      <vt:lpstr>'.Index600'!Druckbereich</vt:lpstr>
      <vt:lpstr>'.Index700'!Druckbereich</vt:lpstr>
      <vt:lpstr>'.Index999'!Druckbereich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Florian Christ</cp:lastModifiedBy>
  <cp:lastPrinted>2018-07-30T07:11:33Z</cp:lastPrinted>
  <dcterms:created xsi:type="dcterms:W3CDTF">2017-07-26T06:20:36Z</dcterms:created>
  <dcterms:modified xsi:type="dcterms:W3CDTF">2024-03-25T08:30:08Z</dcterms:modified>
</cp:coreProperties>
</file>