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360" yWindow="120" windowWidth="12780" windowHeight="12660"/>
  </bookViews>
  <sheets>
    <sheet name="Startcheck" sheetId="2" r:id="rId1"/>
    <sheet name="Pendenzen" sheetId="1" r:id="rId2"/>
  </sheets>
  <definedNames>
    <definedName name="_xlnm.Print_Area" localSheetId="1">Pendenzen!$A$1:$E$41</definedName>
    <definedName name="_xlnm.Print_Area" localSheetId="0">Startcheck!$A$1:$I$62</definedName>
    <definedName name="_xlnm.Print_Titles" localSheetId="0">Startcheck!$1:$3</definedName>
    <definedName name="Kontrollkästchen1" localSheetId="1">Pendenzen!#REF!</definedName>
    <definedName name="Kontrollkästchen10" localSheetId="1">Pendenzen!#REF!</definedName>
    <definedName name="Kontrollkästchen11" localSheetId="1">Pendenzen!#REF!</definedName>
    <definedName name="Kontrollkästchen12" localSheetId="1">Pendenzen!#REF!</definedName>
    <definedName name="Kontrollkästchen13" localSheetId="1">Pendenzen!#REF!</definedName>
    <definedName name="Kontrollkästchen14" localSheetId="1">Pendenzen!#REF!</definedName>
    <definedName name="Kontrollkästchen15" localSheetId="1">Pendenzen!#REF!</definedName>
    <definedName name="Kontrollkästchen2" localSheetId="1">Pendenzen!#REF!</definedName>
    <definedName name="Kontrollkästchen3" localSheetId="1">Pendenzen!#REF!</definedName>
    <definedName name="Kontrollkästchen4" localSheetId="1">Pendenzen!#REF!</definedName>
    <definedName name="Kontrollkästchen5" localSheetId="1">Pendenzen!#REF!</definedName>
    <definedName name="Kontrollkästchen6" localSheetId="1">Pendenzen!#REF!</definedName>
    <definedName name="Kontrollkästchen7" localSheetId="1">Pendenzen!#REF!</definedName>
    <definedName name="Kontrollkästchen8" localSheetId="1">Pendenzen!#REF!</definedName>
    <definedName name="Kontrollkästchen9" localSheetId="1">Pendenzen!#REF!</definedName>
    <definedName name="Text1" localSheetId="1">Pendenzen!#REF!</definedName>
    <definedName name="Text2" localSheetId="1">Pendenzen!#REF!</definedName>
    <definedName name="Text3" localSheetId="1">Pendenzen!#REF!</definedName>
    <definedName name="Text4" localSheetId="1">Pendenzen!#REF!</definedName>
    <definedName name="Text5" localSheetId="1">Pendenzen!#REF!</definedName>
  </definedNames>
  <calcPr calcId="145621"/>
</workbook>
</file>

<file path=xl/calcChain.xml><?xml version="1.0" encoding="utf-8"?>
<calcChain xmlns="http://schemas.openxmlformats.org/spreadsheetml/2006/main">
  <c r="B41" i="1" l="1"/>
  <c r="B40" i="1"/>
  <c r="B39" i="1"/>
  <c r="B15" i="1"/>
  <c r="F15" i="1" s="1"/>
  <c r="B14" i="1"/>
  <c r="B38" i="1" l="1"/>
  <c r="F40" i="1" l="1"/>
  <c r="F39" i="1"/>
  <c r="F41" i="1"/>
  <c r="F38" i="1"/>
  <c r="B9" i="1"/>
  <c r="B10" i="1"/>
  <c r="B11" i="1"/>
  <c r="B12" i="1"/>
  <c r="B13" i="1"/>
  <c r="F14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F37" i="1" l="1"/>
  <c r="F28" i="1"/>
  <c r="F23" i="1"/>
  <c r="F22" i="1"/>
  <c r="F21" i="1"/>
  <c r="F36" i="1"/>
  <c r="F35" i="1"/>
  <c r="F27" i="1"/>
  <c r="F26" i="1"/>
  <c r="F33" i="1"/>
  <c r="F25" i="1"/>
  <c r="F17" i="1"/>
  <c r="F31" i="1"/>
  <c r="F30" i="1"/>
  <c r="F29" i="1"/>
  <c r="F20" i="1"/>
  <c r="F19" i="1"/>
  <c r="F34" i="1"/>
  <c r="F18" i="1"/>
  <c r="F32" i="1"/>
  <c r="F24" i="1"/>
  <c r="F16" i="1"/>
  <c r="F13" i="1"/>
  <c r="F12" i="1"/>
  <c r="F11" i="1"/>
  <c r="F10" i="1"/>
  <c r="F9" i="1"/>
  <c r="A9" i="1" s="1"/>
  <c r="A10" i="1" l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</calcChain>
</file>

<file path=xl/sharedStrings.xml><?xml version="1.0" encoding="utf-8"?>
<sst xmlns="http://schemas.openxmlformats.org/spreadsheetml/2006/main" count="209" uniqueCount="105">
  <si>
    <t>Startcheck</t>
  </si>
  <si>
    <t>ja</t>
  </si>
  <si>
    <t>nein</t>
  </si>
  <si>
    <t>irrelevant</t>
  </si>
  <si>
    <t>Bemerkungen</t>
  </si>
  <si>
    <t>     </t>
  </si>
  <si>
    <r>
      <t>2.1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Termine</t>
    </r>
  </si>
  <si>
    <r>
      <t>2.2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Kosten/Aufwand</t>
    </r>
  </si>
  <si>
    <r>
      <t>2.3</t>
    </r>
    <r>
      <rPr>
        <b/>
        <sz val="7"/>
        <rFont val="Times New Roman"/>
        <family val="1"/>
      </rPr>
      <t xml:space="preserve">          </t>
    </r>
    <r>
      <rPr>
        <b/>
        <sz val="10"/>
        <rFont val="Arial"/>
        <family val="2"/>
      </rPr>
      <t>Organisation und Administration</t>
    </r>
  </si>
  <si>
    <t>Auftragsschreiben vorhanden</t>
  </si>
  <si>
    <t>Auftrag/Vertrag</t>
  </si>
  <si>
    <t>1.</t>
  </si>
  <si>
    <t>Projektplanung</t>
  </si>
  <si>
    <t>2.</t>
  </si>
  <si>
    <t>Anforderungen, Ziele</t>
  </si>
  <si>
    <t>3.</t>
  </si>
  <si>
    <t>Risikobetrachtungen</t>
  </si>
  <si>
    <t>4.</t>
  </si>
  <si>
    <t>Auftragsbestätigung muss eingefordert werden</t>
  </si>
  <si>
    <t>Vertrag unterschrieben liegt vor</t>
  </si>
  <si>
    <t>Vertragsprüfung durch PL erfolgt</t>
  </si>
  <si>
    <t>Spezielles</t>
  </si>
  <si>
    <t>Wurde ein angemessenes Terminprogramm dazu erstellt</t>
  </si>
  <si>
    <t>Sind die internen Planungen darauf abgestimmt</t>
  </si>
  <si>
    <t>Sind Pufferzeiten für interne Prüfvorgaben berücksichtigt und ausgewiesen</t>
  </si>
  <si>
    <t>Sind externe Prüfungen/Genehmigungen terminlich berücksichtigt</t>
  </si>
  <si>
    <t>Ist das Hilfsmittel für die Terminüberwachung festgelegt (Angabe präzisieren)</t>
  </si>
  <si>
    <t>–</t>
  </si>
  <si>
    <t>Ist das Budget den Projektphasen entsprechend aufgeteilt und den einzelnen Funktionen zugeordnet</t>
  </si>
  <si>
    <t>Müssen Kosten für Subplaner oder externe MA berücksichtigt werden</t>
  </si>
  <si>
    <t>Wird ein anderes/zusätzliches Hilfsmittel zur Kostenüberwachung eingesetzt? (Angabe welches)</t>
  </si>
  <si>
    <t>Sind die Teammitglieder intern und extern über ihr Budget informiert</t>
  </si>
  <si>
    <t>Ist ein aktuelles internes Organigramm vorhanden</t>
  </si>
  <si>
    <t>Ist der Personalbestand und die Verfügbarkeit von geplanten MA-Einsätzen verifiziert</t>
  </si>
  <si>
    <t>Sind die organisatorischen Schnittstellen im Team geregelt</t>
  </si>
  <si>
    <t>Ist der Informationsaustausch innerhalb des Teams geregelt (Teamsitzungen, E-Mails, Rapportwesen)</t>
  </si>
  <si>
    <t>Ist die Dokumentenablage definiert</t>
  </si>
  <si>
    <r>
      <t>I</t>
    </r>
    <r>
      <rPr>
        <sz val="10"/>
        <rFont val="Arial"/>
        <family val="2"/>
      </rPr>
      <t>st das Endprodukt inklusive aller notwendigen Zwischenschritte definiert und fixiert</t>
    </r>
  </si>
  <si>
    <t>Sind die technischen Schnittstellen in der Projektbearbeitung geregelt</t>
  </si>
  <si>
    <t>Müssen unvollständige oder widersprüchliche Anforderungen mit dem AG geklärt werden</t>
  </si>
  <si>
    <t>Ist die Beschaffung der erforderlichen Grundlagen in Ort, Art und Umfang definiert und klar</t>
  </si>
  <si>
    <t>Sind terminlich kritische Abläufe analysiert und die Schlussfolgerungen festgehalten (Handnotiz,</t>
  </si>
  <si>
    <t>Protokoll etc.)</t>
  </si>
  <si>
    <t>Ist ein Verantwortlicher für die Terminkontrolle und die Terminüberwachung inklusive Melde-/</t>
  </si>
  <si>
    <t>Warnsystem festgelegt worden</t>
  </si>
  <si>
    <t xml:space="preserve">Sind Zuständigkeiten und Verantwortlichkeiten für die Projektdurchführung und Kontrollen festgelegt </t>
  </si>
  <si>
    <t>und allen Teammitgliedern (allenfalls auch dem AG) bekannt</t>
  </si>
  <si>
    <t>(Beilagen, Spezialformulare, Termine etc.)</t>
  </si>
  <si>
    <t xml:space="preserve">Sind die erforderlichen Qualifikationen von Projektbeteiligten und angemessene Hilfsmittel festgelegt </t>
  </si>
  <si>
    <t>und vorhanden</t>
  </si>
  <si>
    <t xml:space="preserve">Sind Methoden und Vorgehensweisen festgelegt (z. B. sinnvoller und angemessener Einsatz </t>
  </si>
  <si>
    <t>von Software, CAD etc.)</t>
  </si>
  <si>
    <t xml:space="preserve">Sind die gesetzlichen, behördlichen und normativen Forderungen und Randbedingungen für </t>
  </si>
  <si>
    <t>die Projektbearbeitung abgeklärt und eindeutig festgelegt</t>
  </si>
  <si>
    <t xml:space="preserve">Wurde mit Hilfe von Anforderungen an das PM und/oder einer Risikoanalyse die Projektrisiken </t>
  </si>
  <si>
    <t>analysiert und erfasst</t>
  </si>
  <si>
    <t xml:space="preserve">Sind die Abläufe für Rechnungsstellung, die nicht dem Normalfall entsprechen, geregelt </t>
  </si>
  <si>
    <t>Pendenzen</t>
  </si>
  <si>
    <t>Tätigkeit</t>
  </si>
  <si>
    <t>Zuständigkeit</t>
  </si>
  <si>
    <t>Termin</t>
  </si>
  <si>
    <t>x</t>
  </si>
  <si>
    <t>Nr.</t>
  </si>
  <si>
    <t>Aus dem Startcheck ergeben sich folgende Pendenzen:</t>
  </si>
  <si>
    <t>Auftragsschreiben beschaffen</t>
  </si>
  <si>
    <t>Unterzeichneter Vertrag besorgen</t>
  </si>
  <si>
    <t>Vertragsprüfung durch PL</t>
  </si>
  <si>
    <t>Externe Terminvorgaben oder Meilensteine besorgen</t>
  </si>
  <si>
    <t>Angemessenes Terminprogramm dazu erstellen</t>
  </si>
  <si>
    <t>Interne Planungen darauf abstimmen</t>
  </si>
  <si>
    <t>Pufferzeiten für interne Prüfvorgaben berücksichtigen und ausweisen</t>
  </si>
  <si>
    <t>Externe Prüfungen/Genehmigungen terminlich berücksichtigen</t>
  </si>
  <si>
    <t>Terminlich kritische Abläufe analysieren und die Schlussfolgerungen festhalten (Handnotiz,Protokoll etc.)</t>
  </si>
  <si>
    <t>Verantwortlicher für die Terminkontrolle und die Terminüberwachung inklusive Melde-/Warnsystem festlegen</t>
  </si>
  <si>
    <t>Hilfsmittel für die Terminüberwachung festlegen (Angabe präzisieren)</t>
  </si>
  <si>
    <t>Budget den Projektphasen entsprechend aufteilen und den einzelnen Funktionen zuordnen</t>
  </si>
  <si>
    <t>Teammitglieder intern und extern über ihr Budget informieren</t>
  </si>
  <si>
    <t>Aktuelles internes Organigramm erstellen</t>
  </si>
  <si>
    <t>Personalbestand und die Verfügbarkeit von geplanten MA-Einsätzen verifizieren</t>
  </si>
  <si>
    <t>Organisatorischen Schnittstellen Team regeln</t>
  </si>
  <si>
    <t>Informationsaustausch innerhalb des Teams regeln (Teamsitzungen, E-Mails, Rapportwesen)</t>
  </si>
  <si>
    <t>Dokumentenablage definieren</t>
  </si>
  <si>
    <t>Abläufe für Rechnungsstellung, die nicht dem Normalfall entsprechen, regeln (Beilagen, Spezialformulare, Termine etc.)</t>
  </si>
  <si>
    <t>Sind die Massnahmen und Abläufe für Projektänderungen inkl. Informationsfluss festgelegt</t>
  </si>
  <si>
    <t>Massnahmen und Abläufe für Projektänderungen inkl. Informationsfluss festlegen</t>
  </si>
  <si>
    <t>Endprodukt inklusive aller notwendigen Zwischenschritte definieren und fixieren</t>
  </si>
  <si>
    <t>Erforderliche Qualifikationen von Projektbeteiligten und angemessene Hilfsmittel festlegen und beschaffen</t>
  </si>
  <si>
    <t>Methoden und Vorgehensweisen festlegen (z. B. sinnvoller und angemessener Einsatz von Software, CAD etc.)</t>
  </si>
  <si>
    <t>Beschaffung der erforderlichen Grundlagen in Ort, Art und Umfang definieren und klarstellen</t>
  </si>
  <si>
    <t>Technische Schnittstellen in der Projektbearbeitung regeln</t>
  </si>
  <si>
    <t>Gesetzliche, behördliche und normative Forderungen und Randbedingungen für die Projektbearbeitung abklären und eindeutig festlegen</t>
  </si>
  <si>
    <t>Unvollständige oder widersprüchliche Anforderungen mit dem AG klären</t>
  </si>
  <si>
    <t>Projektrisiken mit Hilfe von Anforderungen an das PM und/oder einer Risikoanalyse analysieren und erfassen</t>
  </si>
  <si>
    <t>Kontakt mit AG herstellen, um geeignete Auftragsbestätigung zu definieren</t>
  </si>
  <si>
    <t>Spezielle Massnahmen gemäss Bemerkung Startcheck erforderlich</t>
  </si>
  <si>
    <t>Erfassung Fremdkosten im Sokrates und entsprechende Honorarkostenkontrolle</t>
  </si>
  <si>
    <t>Erledigt</t>
  </si>
  <si>
    <t>Zuständigkeiten, Verantwortlichkeiten und Kontrollen für die Projektdurchf. festlegen; allen Teammitgliedern (allenf. auch dem AG) bekannt geben</t>
  </si>
  <si>
    <t>Sind die terminlichen Abhängigkeiten mit Dritten definiert</t>
  </si>
  <si>
    <t>Terminliche Abhängigkeiten mit Dritten definieren</t>
  </si>
  <si>
    <t>→ wenn ja, wo:      </t>
  </si>
  <si>
    <t>→ wenn nein, warum nicht:      </t>
  </si>
  <si>
    <t>Gibt es externe Terminvorgaben oder Meilensteine</t>
  </si>
  <si>
    <t>Kanalisation Thannerstrasse</t>
  </si>
  <si>
    <t>01.07.2018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</si>
</sst>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7"/>
      <name val="Times New Roman"/>
      <family val="1"/>
    </font>
    <font>
      <b/>
      <sz val="8"/>
      <name val="Arial"/>
      <family val="2"/>
    </font>
    <font>
      <sz val="10"/>
      <name val="Wingdings"/>
      <charset val="2"/>
    </font>
    <font>
      <sz val="20"/>
      <name val="Arial"/>
      <family val="2"/>
    </font>
    <font>
      <sz val="9"/>
      <name val="Arial"/>
      <family val="2"/>
    </font>
    <font>
      <b/>
      <i/>
      <sz val="10"/>
      <color rgb="FFFFFF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9" fillId="0" borderId="0" xfId="0" applyFont="1" applyBorder="1" applyAlignment="1">
      <alignment horizontal="left" vertical="top" wrapText="1" indent="5"/>
    </xf>
    <xf numFmtId="0" fontId="1" fillId="0" borderId="0" xfId="0" applyFont="1" applyBorder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Border="1" applyAlignment="1"/>
    <xf numFmtId="0" fontId="0" fillId="0" borderId="0" xfId="0" applyBorder="1"/>
    <xf numFmtId="0" fontId="6" fillId="0" borderId="0" xfId="0" quotePrefix="1" applyFont="1" applyBorder="1" applyAlignment="1">
      <alignment wrapText="1"/>
    </xf>
    <xf numFmtId="0" fontId="1" fillId="0" borderId="0" xfId="0" applyFont="1" applyBorder="1" applyAlignment="1">
      <alignment horizontal="left" vertical="top" wrapText="1"/>
    </xf>
    <xf numFmtId="0" fontId="0" fillId="0" borderId="0" xfId="0" applyBorder="1" applyAlignment="1">
      <alignment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top"/>
    </xf>
    <xf numFmtId="0" fontId="1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2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/>
    </xf>
    <xf numFmtId="0" fontId="11" fillId="0" borderId="0" xfId="0" applyFont="1" applyAlignment="1">
      <alignment horizontal="center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Border="1" applyAlignment="1" applyProtection="1">
      <alignment vertical="top" wrapText="1"/>
    </xf>
    <xf numFmtId="0" fontId="0" fillId="0" borderId="0" xfId="0" applyProtection="1">
      <protection locked="0"/>
    </xf>
    <xf numFmtId="0" fontId="8" fillId="0" borderId="0" xfId="0" applyFont="1" applyBorder="1" applyAlignment="1">
      <alignment textRotation="90" wrapText="1"/>
    </xf>
    <xf numFmtId="0" fontId="1" fillId="2" borderId="2" xfId="0" applyFont="1" applyFill="1" applyBorder="1" applyAlignment="1" applyProtection="1">
      <alignment vertical="top" wrapText="1"/>
      <protection locked="0"/>
    </xf>
    <xf numFmtId="0" fontId="0" fillId="0" borderId="0" xfId="0" applyBorder="1" applyAlignment="1">
      <alignment horizontal="left"/>
    </xf>
    <xf numFmtId="0" fontId="0" fillId="0" borderId="0" xfId="0" applyAlignment="1">
      <alignment horizontal="left"/>
    </xf>
    <xf numFmtId="0" fontId="8" fillId="0" borderId="0" xfId="0" applyFont="1" applyBorder="1" applyAlignment="1">
      <alignment horizontal="center" textRotation="90" wrapText="1"/>
    </xf>
    <xf numFmtId="0" fontId="1" fillId="0" borderId="0" xfId="0" applyFont="1" applyBorder="1" applyAlignment="1">
      <alignment horizontal="center" vertical="top" wrapText="1"/>
    </xf>
    <xf numFmtId="0" fontId="0" fillId="0" borderId="0" xfId="0" applyBorder="1" applyAlignment="1">
      <alignment horizontal="center"/>
    </xf>
    <xf numFmtId="0" fontId="1" fillId="0" borderId="0" xfId="0" applyFont="1" applyBorder="1" applyAlignment="1" applyProtection="1">
      <alignment horizontal="center" vertical="top" wrapText="1"/>
    </xf>
    <xf numFmtId="0" fontId="9" fillId="0" borderId="0" xfId="0" applyFont="1" applyBorder="1" applyAlignment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  <protection locked="0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9" fillId="0" borderId="0" xfId="0" applyFont="1" applyBorder="1" applyAlignment="1">
      <alignment vertical="top" wrapText="1"/>
    </xf>
    <xf numFmtId="0" fontId="5" fillId="0" borderId="0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wrapText="1"/>
    </xf>
    <xf numFmtId="0" fontId="1" fillId="2" borderId="6" xfId="0" applyFont="1" applyFill="1" applyBorder="1" applyAlignment="1" applyProtection="1">
      <alignment horizontal="left" vertical="top" wrapText="1"/>
      <protection locked="0"/>
    </xf>
    <xf numFmtId="0" fontId="1" fillId="2" borderId="2" xfId="0" applyFont="1" applyFill="1" applyBorder="1" applyAlignment="1" applyProtection="1">
      <alignment horizontal="left" vertical="top" wrapText="1"/>
      <protection locked="0"/>
    </xf>
    <xf numFmtId="0" fontId="0" fillId="0" borderId="7" xfId="0" applyBorder="1" applyAlignment="1">
      <alignment horizontal="left"/>
    </xf>
    <xf numFmtId="0" fontId="0" fillId="2" borderId="8" xfId="0" applyFill="1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0" borderId="12" xfId="0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2" borderId="14" xfId="0" applyFill="1" applyBorder="1" applyAlignment="1" applyProtection="1">
      <alignment horizontal="left" vertical="center" wrapText="1"/>
      <protection locked="0"/>
    </xf>
    <xf numFmtId="14" fontId="0" fillId="2" borderId="14" xfId="0" applyNumberFormat="1" applyFill="1" applyBorder="1" applyAlignment="1" applyProtection="1">
      <alignment horizontal="left" vertical="center" wrapText="1"/>
      <protection locked="0"/>
    </xf>
    <xf numFmtId="14" fontId="0" fillId="2" borderId="15" xfId="0" applyNumberFormat="1" applyFill="1" applyBorder="1" applyAlignment="1" applyProtection="1">
      <alignment horizontal="left" vertical="center" wrapText="1"/>
      <protection locked="0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0" fillId="2" borderId="18" xfId="0" applyFill="1" applyBorder="1" applyAlignment="1" applyProtection="1">
      <alignment horizontal="left" vertical="center" wrapText="1"/>
      <protection locked="0"/>
    </xf>
    <xf numFmtId="0" fontId="0" fillId="2" borderId="19" xfId="0" applyFill="1" applyBorder="1" applyAlignment="1" applyProtection="1">
      <alignment horizontal="left" vertical="center" wrapText="1"/>
      <protection locked="0"/>
    </xf>
    <xf numFmtId="0" fontId="0" fillId="0" borderId="20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2" borderId="22" xfId="0" applyFill="1" applyBorder="1" applyAlignment="1" applyProtection="1">
      <alignment horizontal="left" vertical="center" wrapText="1"/>
      <protection locked="0"/>
    </xf>
    <xf numFmtId="0" fontId="0" fillId="2" borderId="23" xfId="0" applyFill="1" applyBorder="1" applyAlignment="1" applyProtection="1">
      <alignment horizontal="left" vertical="center" wrapText="1"/>
      <protection locked="0"/>
    </xf>
    <xf numFmtId="0" fontId="1" fillId="0" borderId="0" xfId="0" applyFont="1" applyBorder="1"/>
    <xf numFmtId="0" fontId="1" fillId="0" borderId="0" xfId="0" quotePrefix="1" applyFont="1" applyBorder="1" applyAlignment="1">
      <alignment horizontal="left" vertical="center" wrapText="1"/>
    </xf>
    <xf numFmtId="0" fontId="1" fillId="0" borderId="0" xfId="0" quotePrefix="1" applyFont="1" applyBorder="1" applyAlignment="1">
      <alignment horizontal="left" vertical="top" wrapText="1"/>
    </xf>
    <xf numFmtId="0" fontId="10" fillId="0" borderId="24" xfId="0" applyFont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4" xfId="0" applyBorder="1" applyAlignment="1"/>
    <xf numFmtId="0" fontId="0" fillId="0" borderId="24" xfId="0" applyBorder="1" applyAlignment="1">
      <alignment horizontal="left"/>
    </xf>
    <xf numFmtId="0" fontId="4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10" fillId="0" borderId="24" xfId="0" applyFont="1" applyBorder="1" applyAlignment="1">
      <alignment horizontal="left"/>
    </xf>
    <xf numFmtId="0" fontId="1" fillId="0" borderId="24" xfId="0" applyFont="1" applyBorder="1" applyAlignment="1">
      <alignment horizontal="left" vertical="top"/>
    </xf>
    <xf numFmtId="0" fontId="0" fillId="0" borderId="7" xfId="0" applyBorder="1" applyAlignment="1">
      <alignment horizontal="left"/>
    </xf>
    <xf numFmtId="0" fontId="0" fillId="0" borderId="0" xfId="0" applyAlignment="1" applyProtection="1">
      <alignment horizontal="left"/>
      <protection locked="0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5524500</xdr:colOff>
      <xdr:row>1</xdr:row>
      <xdr:rowOff>123825</xdr:rowOff>
    </xdr:from>
    <xdr:to>
      <xdr:col>8</xdr:col>
      <xdr:colOff>266700</xdr:colOff>
      <xdr:row>2</xdr:row>
      <xdr:rowOff>57150</xdr:rowOff>
    </xdr:to>
    <xdr:sp macro="" textlink="">
      <xdr:nvSpPr>
        <xdr:cNvPr id="2049" name="Text Box 1"/>
        <xdr:cNvSpPr txBox="1">
          <a:spLocks noChangeArrowheads="1"/>
        </xdr:cNvSpPr>
      </xdr:nvSpPr>
      <xdr:spPr bwMode="auto">
        <a:xfrm>
          <a:off x="5934075" y="504825"/>
          <a:ext cx="116205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CH" sz="900" b="1" i="0" u="none" strike="noStrike" baseline="0">
              <a:solidFill>
                <a:srgbClr val="000000"/>
              </a:solidFill>
              <a:latin typeface="Arial"/>
              <a:cs typeface="Arial"/>
            </a:rPr>
            <a:t>Beantwortung mit</a:t>
          </a:r>
          <a:endParaRPr lang="de-CH"/>
        </a:p>
      </xdr:txBody>
    </xdr:sp>
    <xdr:clientData/>
  </xdr:twoCellAnchor>
  <xdr:twoCellAnchor>
    <xdr:from>
      <xdr:col>0</xdr:col>
      <xdr:colOff>38100</xdr:colOff>
      <xdr:row>1</xdr:row>
      <xdr:rowOff>95250</xdr:rowOff>
    </xdr:from>
    <xdr:to>
      <xdr:col>2</xdr:col>
      <xdr:colOff>1247775</xdr:colOff>
      <xdr:row>2</xdr:row>
      <xdr:rowOff>47625</xdr:rowOff>
    </xdr:to>
    <xdr:sp macro="" textlink="">
      <xdr:nvSpPr>
        <xdr:cNvPr id="2055" name="Text Box 7"/>
        <xdr:cNvSpPr txBox="1">
          <a:spLocks noChangeArrowheads="1"/>
        </xdr:cNvSpPr>
      </xdr:nvSpPr>
      <xdr:spPr bwMode="auto">
        <a:xfrm>
          <a:off x="38100" y="47625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  <a:endParaRPr lang="de-CH"/>
        </a:p>
      </xdr:txBody>
    </xdr:sp>
    <xdr:clientData/>
  </xdr:twoCellAnchor>
  <xdr:twoCellAnchor>
    <xdr:from>
      <xdr:col>0</xdr:col>
      <xdr:colOff>38100</xdr:colOff>
      <xdr:row>2</xdr:row>
      <xdr:rowOff>47625</xdr:rowOff>
    </xdr:from>
    <xdr:to>
      <xdr:col>2</xdr:col>
      <xdr:colOff>1247775</xdr:colOff>
      <xdr:row>2</xdr:row>
      <xdr:rowOff>266700</xdr:rowOff>
    </xdr:to>
    <xdr:sp macro="" textlink="">
      <xdr:nvSpPr>
        <xdr:cNvPr id="2056" name="Text Box 8"/>
        <xdr:cNvSpPr txBox="1">
          <a:spLocks noChangeArrowheads="1"/>
        </xdr:cNvSpPr>
      </xdr:nvSpPr>
      <xdr:spPr bwMode="auto">
        <a:xfrm>
          <a:off x="38100" y="69532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  <a:endParaRPr lang="de-CH"/>
        </a:p>
      </xdr:txBody>
    </xdr:sp>
    <xdr:clientData/>
  </xdr:twoCellAnchor>
  <xdr:twoCellAnchor>
    <xdr:from>
      <xdr:col>0</xdr:col>
      <xdr:colOff>38100</xdr:colOff>
      <xdr:row>2</xdr:row>
      <xdr:rowOff>266700</xdr:rowOff>
    </xdr:from>
    <xdr:to>
      <xdr:col>2</xdr:col>
      <xdr:colOff>1247775</xdr:colOff>
      <xdr:row>2</xdr:row>
      <xdr:rowOff>485775</xdr:rowOff>
    </xdr:to>
    <xdr:sp macro="" textlink="">
      <xdr:nvSpPr>
        <xdr:cNvPr id="2057" name="Text Box 9"/>
        <xdr:cNvSpPr txBox="1">
          <a:spLocks noChangeArrowheads="1"/>
        </xdr:cNvSpPr>
      </xdr:nvSpPr>
      <xdr:spPr bwMode="auto">
        <a:xfrm>
          <a:off x="38100" y="91440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  <a:endParaRPr lang="de-CH"/>
        </a:p>
      </xdr:txBody>
    </xdr:sp>
    <xdr:clientData/>
  </xdr:twoCellAnchor>
  <xdr:twoCellAnchor>
    <xdr:from>
      <xdr:col>2</xdr:col>
      <xdr:colOff>1247775</xdr:colOff>
      <xdr:row>1</xdr:row>
      <xdr:rowOff>95250</xdr:rowOff>
    </xdr:from>
    <xdr:to>
      <xdr:col>2</xdr:col>
      <xdr:colOff>4305300</xdr:colOff>
      <xdr:row>2</xdr:row>
      <xdr:rowOff>47625</xdr:rowOff>
    </xdr:to>
    <xdr:sp macro="" textlink="Pendenzen!B3">
      <xdr:nvSpPr>
        <xdr:cNvPr id="2059" name="Text Box 11"/>
        <xdr:cNvSpPr txBox="1">
          <a:spLocks noChangeArrowheads="1" noTextEdit="1"/>
        </xdr:cNvSpPr>
      </xdr:nvSpPr>
      <xdr:spPr bwMode="auto">
        <a:xfrm>
          <a:off x="1657350" y="47625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6623DEAB-47E8-4422-B934-D7149FB3E2F3}" type="TxLink">
            <a:rPr lang="de-DE"/>
            <a:pPr/>
            <a:t>Kanalisation Thannerstrasse</a:t>
          </a:fld>
          <a:endParaRPr lang="de-DE"/>
        </a:p>
      </xdr:txBody>
    </xdr:sp>
    <xdr:clientData/>
  </xdr:twoCellAnchor>
  <xdr:twoCellAnchor>
    <xdr:from>
      <xdr:col>2</xdr:col>
      <xdr:colOff>1247775</xdr:colOff>
      <xdr:row>2</xdr:row>
      <xdr:rowOff>47625</xdr:rowOff>
    </xdr:from>
    <xdr:to>
      <xdr:col>2</xdr:col>
      <xdr:colOff>4305300</xdr:colOff>
      <xdr:row>2</xdr:row>
      <xdr:rowOff>266700</xdr:rowOff>
    </xdr:to>
    <xdr:sp macro="" textlink="Pendenzen!B4">
      <xdr:nvSpPr>
        <xdr:cNvPr id="2060" name="Text Box 12"/>
        <xdr:cNvSpPr txBox="1">
          <a:spLocks noChangeArrowheads="1" noTextEdit="1"/>
        </xdr:cNvSpPr>
      </xdr:nvSpPr>
      <xdr:spPr bwMode="auto">
        <a:xfrm>
          <a:off x="1657350" y="69532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0072C355-90B1-4613-AE6B-33CEC7098CA7}" type="TxLink">
            <a:rPr lang="de-DE"/>
            <a:pPr/>
            <a:t>9879</a:t>
          </a:fld>
          <a:endParaRPr lang="de-DE"/>
        </a:p>
      </xdr:txBody>
    </xdr:sp>
    <xdr:clientData/>
  </xdr:twoCellAnchor>
  <xdr:twoCellAnchor>
    <xdr:from>
      <xdr:col>2</xdr:col>
      <xdr:colOff>1247775</xdr:colOff>
      <xdr:row>2</xdr:row>
      <xdr:rowOff>266700</xdr:rowOff>
    </xdr:from>
    <xdr:to>
      <xdr:col>2</xdr:col>
      <xdr:colOff>4305300</xdr:colOff>
      <xdr:row>2</xdr:row>
      <xdr:rowOff>485775</xdr:rowOff>
    </xdr:to>
    <xdr:sp macro="" textlink="Pendenzen!B5">
      <xdr:nvSpPr>
        <xdr:cNvPr id="2061" name="Text Box 13"/>
        <xdr:cNvSpPr txBox="1">
          <a:spLocks noChangeArrowheads="1" noTextEdit="1"/>
        </xdr:cNvSpPr>
      </xdr:nvSpPr>
      <xdr:spPr bwMode="auto">
        <a:xfrm>
          <a:off x="1657350" y="91440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25DD180C-3E2F-4D72-A343-CFF366F058CD}" type="TxLink">
            <a:rPr lang="de-DE"/>
            <a:pPr/>
            <a:t>01.07.2018</a:t>
          </a:fld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4352925</xdr:colOff>
          <xdr:row>1</xdr:row>
          <xdr:rowOff>152400</xdr:rowOff>
        </xdr:from>
        <xdr:to>
          <xdr:col>2</xdr:col>
          <xdr:colOff>5486400</xdr:colOff>
          <xdr:row>2</xdr:row>
          <xdr:rowOff>438150</xdr:rowOff>
        </xdr:to>
        <xdr:sp macro="" textlink="">
          <xdr:nvSpPr>
            <xdr:cNvPr id="2065" name="CommandButton2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2</xdr:col>
      <xdr:colOff>0</xdr:colOff>
      <xdr:row>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8439150" y="409575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Beantwortung mit</a:t>
          </a:r>
          <a:endParaRPr lang="de-CH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4552950</xdr:colOff>
          <xdr:row>2</xdr:row>
          <xdr:rowOff>0</xdr:rowOff>
        </xdr:from>
        <xdr:to>
          <xdr:col>1</xdr:col>
          <xdr:colOff>5619750</xdr:colOff>
          <xdr:row>4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1" i="1" u="none" strike="noStrike" baseline="0">
                  <a:solidFill>
                    <a:srgbClr val="FFFF00"/>
                  </a:solidFill>
                  <a:latin typeface="Arial"/>
                  <a:cs typeface="Arial"/>
                </a:rPr>
                <a:t>Leere Zeilen ausblenden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28575</xdr:colOff>
      <xdr:row>1</xdr:row>
      <xdr:rowOff>76200</xdr:rowOff>
    </xdr:from>
    <xdr:to>
      <xdr:col>1</xdr:col>
      <xdr:colOff>1343025</xdr:colOff>
      <xdr:row>2</xdr:row>
      <xdr:rowOff>133350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28575" y="48577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Projektname</a:t>
          </a:r>
          <a:endParaRPr lang="de-CH"/>
        </a:p>
      </xdr:txBody>
    </xdr:sp>
    <xdr:clientData/>
  </xdr:twoCellAnchor>
  <xdr:twoCellAnchor editAs="absolute">
    <xdr:from>
      <xdr:col>0</xdr:col>
      <xdr:colOff>28575</xdr:colOff>
      <xdr:row>2</xdr:row>
      <xdr:rowOff>133350</xdr:rowOff>
    </xdr:from>
    <xdr:to>
      <xdr:col>1</xdr:col>
      <xdr:colOff>1343025</xdr:colOff>
      <xdr:row>4</xdr:row>
      <xdr:rowOff>28575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28575" y="704850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Auftragsnummer</a:t>
          </a:r>
          <a:endParaRPr lang="de-CH"/>
        </a:p>
      </xdr:txBody>
    </xdr:sp>
    <xdr:clientData/>
  </xdr:twoCellAnchor>
  <xdr:twoCellAnchor editAs="absolute">
    <xdr:from>
      <xdr:col>0</xdr:col>
      <xdr:colOff>28575</xdr:colOff>
      <xdr:row>4</xdr:row>
      <xdr:rowOff>28575</xdr:rowOff>
    </xdr:from>
    <xdr:to>
      <xdr:col>1</xdr:col>
      <xdr:colOff>1343025</xdr:colOff>
      <xdr:row>5</xdr:row>
      <xdr:rowOff>85725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28575" y="923925"/>
          <a:ext cx="1619250" cy="219075"/>
        </a:xfrm>
        <a:prstGeom prst="rect">
          <a:avLst/>
        </a:prstGeom>
        <a:solidFill>
          <a:srgbClr val="FFFFCC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36000" tIns="0" rIns="90000" bIns="0" anchor="ctr" upright="1"/>
        <a:lstStyle/>
        <a:p>
          <a:pPr algn="l" rtl="0">
            <a:defRPr sz="1000"/>
          </a:pPr>
          <a:r>
            <a:rPr lang="de-CH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Datum</a:t>
          </a:r>
          <a:endParaRPr lang="de-CH"/>
        </a:p>
      </xdr:txBody>
    </xdr:sp>
    <xdr:clientData/>
  </xdr:twoCellAnchor>
  <xdr:twoCellAnchor editAs="absolute">
    <xdr:from>
      <xdr:col>1</xdr:col>
      <xdr:colOff>1343025</xdr:colOff>
      <xdr:row>1</xdr:row>
      <xdr:rowOff>76200</xdr:rowOff>
    </xdr:from>
    <xdr:to>
      <xdr:col>1</xdr:col>
      <xdr:colOff>4400550</xdr:colOff>
      <xdr:row>2</xdr:row>
      <xdr:rowOff>133350</xdr:rowOff>
    </xdr:to>
    <xdr:sp macro="" textlink="Pendenzen!B3">
      <xdr:nvSpPr>
        <xdr:cNvPr id="1039" name="Text Box 15"/>
        <xdr:cNvSpPr txBox="1">
          <a:spLocks noChangeArrowheads="1" noTextEdit="1"/>
        </xdr:cNvSpPr>
      </xdr:nvSpPr>
      <xdr:spPr bwMode="auto">
        <a:xfrm>
          <a:off x="1647825" y="48577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0F530C0C-04BD-465C-9287-B24EE068FBDB}" type="TxLink">
            <a:rPr lang="de-DE"/>
            <a:pPr/>
            <a:t>Kanalisation Thannerstrasse</a:t>
          </a:fld>
          <a:endParaRPr lang="de-DE"/>
        </a:p>
      </xdr:txBody>
    </xdr:sp>
    <xdr:clientData/>
  </xdr:twoCellAnchor>
  <xdr:twoCellAnchor editAs="absolute">
    <xdr:from>
      <xdr:col>1</xdr:col>
      <xdr:colOff>1343025</xdr:colOff>
      <xdr:row>2</xdr:row>
      <xdr:rowOff>133350</xdr:rowOff>
    </xdr:from>
    <xdr:to>
      <xdr:col>1</xdr:col>
      <xdr:colOff>4400550</xdr:colOff>
      <xdr:row>4</xdr:row>
      <xdr:rowOff>28575</xdr:rowOff>
    </xdr:to>
    <xdr:sp macro="" textlink="Pendenzen!B4">
      <xdr:nvSpPr>
        <xdr:cNvPr id="1040" name="Text Box 16"/>
        <xdr:cNvSpPr txBox="1">
          <a:spLocks noChangeArrowheads="1" noTextEdit="1"/>
        </xdr:cNvSpPr>
      </xdr:nvSpPr>
      <xdr:spPr bwMode="auto">
        <a:xfrm>
          <a:off x="1647825" y="704850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28998088-74DF-4011-85F6-6B1EA8EAAC09}" type="TxLink">
            <a:rPr lang="de-DE"/>
            <a:pPr/>
            <a:t>9879</a:t>
          </a:fld>
          <a:endParaRPr lang="de-DE"/>
        </a:p>
      </xdr:txBody>
    </xdr:sp>
    <xdr:clientData/>
  </xdr:twoCellAnchor>
  <xdr:twoCellAnchor editAs="absolute">
    <xdr:from>
      <xdr:col>1</xdr:col>
      <xdr:colOff>1343025</xdr:colOff>
      <xdr:row>4</xdr:row>
      <xdr:rowOff>28575</xdr:rowOff>
    </xdr:from>
    <xdr:to>
      <xdr:col>1</xdr:col>
      <xdr:colOff>4400550</xdr:colOff>
      <xdr:row>5</xdr:row>
      <xdr:rowOff>85725</xdr:rowOff>
    </xdr:to>
    <xdr:sp macro="" textlink="Pendenzen!B5">
      <xdr:nvSpPr>
        <xdr:cNvPr id="1041" name="Text Box 17"/>
        <xdr:cNvSpPr txBox="1">
          <a:spLocks noChangeArrowheads="1" noTextEdit="1"/>
        </xdr:cNvSpPr>
      </xdr:nvSpPr>
      <xdr:spPr bwMode="auto">
        <a:xfrm>
          <a:off x="1647825" y="923925"/>
          <a:ext cx="30575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AEAEA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miter lim="800000"/>
          <a:headEnd/>
          <a:tailEnd/>
        </a:ln>
      </xdr:spPr>
      <xdr:txBody>
        <a:bodyPr vertOverflow="clip" wrap="square" lIns="18288" tIns="0" rIns="0" bIns="0" anchor="ctr" upright="1"/>
        <a:lstStyle/>
        <a:p>
          <a:fld id="{EDB8FBAD-9C43-4E9A-A0E3-2D425BA58144}" type="TxLink">
            <a:rPr lang="de-DE"/>
            <a:pPr/>
            <a:t>01.07.2018</a:t>
          </a:fld>
          <a:endParaRPr lang="de-DE"/>
        </a:p>
      </xdr:txBody>
    </xdr: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J88"/>
  <sheetViews>
    <sheetView tabSelected="1" workbookViewId="0">
      <selection activeCell="C8" sqref="C8"/>
    </sheetView>
  </sheetViews>
  <sheetFormatPr baseColWidth="10" defaultRowHeight="12.75"/>
  <cols>
    <col min="1" max="1" width="3.42578125" customWidth="1"/>
    <col min="2" max="2" width="2.7109375" customWidth="1"/>
    <col min="3" max="3" width="86.42578125" customWidth="1"/>
    <col min="4" max="4" width="2.7109375" style="3" customWidth="1"/>
    <col min="5" max="5" width="0.85546875" style="4" customWidth="1"/>
    <col min="6" max="6" width="2.7109375" style="3" customWidth="1"/>
    <col min="7" max="7" width="0.85546875" style="4" customWidth="1"/>
    <col min="8" max="8" width="2.7109375" style="3" customWidth="1"/>
    <col min="9" max="9" width="53.85546875" style="22" customWidth="1"/>
    <col min="10" max="10" width="11.42578125" hidden="1" customWidth="1"/>
  </cols>
  <sheetData>
    <row r="1" spans="1:10" ht="30" customHeight="1">
      <c r="A1" s="58" t="s">
        <v>0</v>
      </c>
      <c r="B1" s="59"/>
      <c r="C1" s="59"/>
      <c r="D1" s="60"/>
      <c r="E1" s="61"/>
      <c r="F1" s="60"/>
      <c r="G1" s="61"/>
      <c r="H1" s="60"/>
      <c r="I1" s="62"/>
    </row>
    <row r="2" spans="1:10" s="5" customFormat="1" ht="21" customHeight="1">
      <c r="A2" s="4"/>
      <c r="B2" s="4"/>
      <c r="C2" s="2"/>
      <c r="D2" s="63"/>
      <c r="E2" s="63"/>
      <c r="F2" s="63"/>
      <c r="G2" s="63"/>
      <c r="H2" s="63"/>
      <c r="I2" s="33"/>
    </row>
    <row r="3" spans="1:10" s="5" customFormat="1" ht="43.5" customHeight="1">
      <c r="A3" s="4"/>
      <c r="B3" s="4"/>
      <c r="C3" s="2"/>
      <c r="D3" s="23" t="s">
        <v>1</v>
      </c>
      <c r="E3" s="19"/>
      <c r="F3" s="23" t="s">
        <v>2</v>
      </c>
      <c r="G3" s="19"/>
      <c r="H3" s="23" t="s">
        <v>3</v>
      </c>
      <c r="I3" s="34" t="s">
        <v>4</v>
      </c>
    </row>
    <row r="4" spans="1:10" s="5" customFormat="1" ht="15">
      <c r="A4" s="6" t="s">
        <v>11</v>
      </c>
      <c r="B4" s="64" t="s">
        <v>10</v>
      </c>
      <c r="C4" s="64"/>
      <c r="D4" s="23"/>
      <c r="E4" s="2"/>
      <c r="F4" s="23"/>
      <c r="G4" s="2"/>
      <c r="H4" s="23"/>
      <c r="I4" s="21"/>
    </row>
    <row r="5" spans="1:10" s="5" customFormat="1" ht="15" customHeight="1">
      <c r="A5" s="4"/>
      <c r="B5" s="12" t="s">
        <v>27</v>
      </c>
      <c r="C5" s="11" t="s">
        <v>9</v>
      </c>
      <c r="D5" s="16" t="s">
        <v>61</v>
      </c>
      <c r="E5" s="29"/>
      <c r="F5" s="16"/>
      <c r="G5" s="29"/>
      <c r="H5" s="16"/>
      <c r="I5" s="35"/>
      <c r="J5" s="14" t="s">
        <v>64</v>
      </c>
    </row>
    <row r="6" spans="1:10" s="5" customFormat="1" ht="15" customHeight="1">
      <c r="A6" s="4"/>
      <c r="B6" s="12" t="s">
        <v>27</v>
      </c>
      <c r="C6" s="11" t="s">
        <v>18</v>
      </c>
      <c r="D6" s="16"/>
      <c r="E6" s="30"/>
      <c r="F6" s="16" t="s">
        <v>61</v>
      </c>
      <c r="G6" s="30"/>
      <c r="H6" s="16"/>
      <c r="I6" s="35"/>
      <c r="J6" s="14" t="s">
        <v>93</v>
      </c>
    </row>
    <row r="7" spans="1:10" s="5" customFormat="1" ht="15" customHeight="1">
      <c r="A7" s="4"/>
      <c r="B7" s="12" t="s">
        <v>27</v>
      </c>
      <c r="C7" s="11" t="s">
        <v>19</v>
      </c>
      <c r="D7" s="16" t="s">
        <v>61</v>
      </c>
      <c r="E7" s="30"/>
      <c r="F7" s="16"/>
      <c r="G7" s="30"/>
      <c r="H7" s="16"/>
      <c r="I7" s="35" t="s">
        <v>5</v>
      </c>
      <c r="J7" s="14" t="s">
        <v>65</v>
      </c>
    </row>
    <row r="8" spans="1:10" s="5" customFormat="1" ht="15" customHeight="1">
      <c r="A8" s="4"/>
      <c r="B8" s="12" t="s">
        <v>27</v>
      </c>
      <c r="C8" s="11" t="s">
        <v>20</v>
      </c>
      <c r="D8" s="16" t="s">
        <v>61</v>
      </c>
      <c r="E8" s="30"/>
      <c r="F8" s="16"/>
      <c r="G8" s="30"/>
      <c r="H8" s="16"/>
      <c r="I8" s="35" t="s">
        <v>5</v>
      </c>
      <c r="J8" s="14" t="s">
        <v>66</v>
      </c>
    </row>
    <row r="9" spans="1:10" s="5" customFormat="1" ht="15" customHeight="1">
      <c r="A9" s="4"/>
      <c r="B9" s="12" t="s">
        <v>27</v>
      </c>
      <c r="C9" s="11" t="s">
        <v>21</v>
      </c>
      <c r="D9" s="16"/>
      <c r="E9" s="31"/>
      <c r="F9" s="16" t="s">
        <v>61</v>
      </c>
      <c r="G9" s="31"/>
      <c r="H9" s="16"/>
      <c r="I9" s="35" t="s">
        <v>5</v>
      </c>
      <c r="J9" s="14" t="s">
        <v>94</v>
      </c>
    </row>
    <row r="10" spans="1:10" s="5" customFormat="1" ht="15" customHeight="1">
      <c r="A10" s="4"/>
      <c r="B10" s="8"/>
      <c r="C10" s="7"/>
      <c r="D10" s="24"/>
      <c r="E10" s="2"/>
      <c r="F10" s="24"/>
      <c r="G10" s="2"/>
      <c r="H10" s="24"/>
      <c r="I10" s="7"/>
    </row>
    <row r="11" spans="1:10" s="5" customFormat="1" ht="15">
      <c r="A11" s="6" t="s">
        <v>13</v>
      </c>
      <c r="B11" s="64" t="s">
        <v>12</v>
      </c>
      <c r="C11" s="64"/>
      <c r="D11" s="24"/>
      <c r="E11" s="2"/>
      <c r="F11" s="24"/>
      <c r="G11" s="2"/>
      <c r="H11" s="24"/>
      <c r="I11" s="7"/>
    </row>
    <row r="12" spans="1:10" s="5" customFormat="1">
      <c r="A12" s="4"/>
      <c r="B12" s="65" t="s">
        <v>6</v>
      </c>
      <c r="C12" s="65"/>
      <c r="D12" s="24"/>
      <c r="E12" s="2"/>
      <c r="F12" s="24"/>
      <c r="G12" s="2"/>
      <c r="H12" s="24"/>
      <c r="I12" s="7" t="s">
        <v>5</v>
      </c>
    </row>
    <row r="13" spans="1:10" s="5" customFormat="1" ht="15" customHeight="1">
      <c r="A13" s="4"/>
      <c r="B13" s="12" t="s">
        <v>27</v>
      </c>
      <c r="C13" s="11" t="s">
        <v>102</v>
      </c>
      <c r="D13" s="16" t="s">
        <v>61</v>
      </c>
      <c r="E13" s="30"/>
      <c r="F13" s="16"/>
      <c r="G13" s="30"/>
      <c r="H13" s="16"/>
      <c r="I13" s="35" t="s">
        <v>5</v>
      </c>
      <c r="J13" s="5" t="s">
        <v>67</v>
      </c>
    </row>
    <row r="14" spans="1:10" s="5" customFormat="1" ht="15" customHeight="1">
      <c r="A14" s="4"/>
      <c r="B14" s="12" t="s">
        <v>27</v>
      </c>
      <c r="C14" s="11" t="s">
        <v>98</v>
      </c>
      <c r="D14" s="16"/>
      <c r="E14" s="30"/>
      <c r="F14" s="16"/>
      <c r="G14" s="30"/>
      <c r="H14" s="16" t="s">
        <v>61</v>
      </c>
      <c r="I14" s="35"/>
      <c r="J14" s="55" t="s">
        <v>99</v>
      </c>
    </row>
    <row r="15" spans="1:10" s="5" customFormat="1" ht="15" customHeight="1">
      <c r="A15" s="4"/>
      <c r="B15" s="12" t="s">
        <v>27</v>
      </c>
      <c r="C15" s="11" t="s">
        <v>22</v>
      </c>
      <c r="D15" s="16" t="s">
        <v>61</v>
      </c>
      <c r="E15" s="30"/>
      <c r="F15" s="16"/>
      <c r="G15" s="30"/>
      <c r="H15" s="16"/>
      <c r="I15" s="35" t="s">
        <v>5</v>
      </c>
      <c r="J15" s="5" t="s">
        <v>68</v>
      </c>
    </row>
    <row r="16" spans="1:10" s="5" customFormat="1" ht="15" customHeight="1">
      <c r="A16" s="4"/>
      <c r="B16" s="12" t="s">
        <v>27</v>
      </c>
      <c r="C16" s="11" t="s">
        <v>23</v>
      </c>
      <c r="D16" s="16" t="s">
        <v>61</v>
      </c>
      <c r="E16" s="30"/>
      <c r="F16" s="16"/>
      <c r="G16" s="30"/>
      <c r="H16" s="16"/>
      <c r="I16" s="35" t="s">
        <v>5</v>
      </c>
      <c r="J16" s="5" t="s">
        <v>69</v>
      </c>
    </row>
    <row r="17" spans="1:10" s="5" customFormat="1" ht="15" customHeight="1">
      <c r="A17" s="4"/>
      <c r="B17" s="12" t="s">
        <v>27</v>
      </c>
      <c r="C17" s="11" t="s">
        <v>24</v>
      </c>
      <c r="D17" s="16"/>
      <c r="E17" s="30"/>
      <c r="F17" s="16"/>
      <c r="G17" s="30"/>
      <c r="H17" s="16" t="s">
        <v>61</v>
      </c>
      <c r="I17" s="35" t="s">
        <v>5</v>
      </c>
      <c r="J17" s="5" t="s">
        <v>70</v>
      </c>
    </row>
    <row r="18" spans="1:10" s="5" customFormat="1" ht="15" customHeight="1">
      <c r="A18" s="4"/>
      <c r="B18" s="12" t="s">
        <v>27</v>
      </c>
      <c r="C18" s="11" t="s">
        <v>25</v>
      </c>
      <c r="D18" s="16" t="s">
        <v>61</v>
      </c>
      <c r="E18" s="30"/>
      <c r="F18" s="16"/>
      <c r="G18" s="30"/>
      <c r="H18" s="16"/>
      <c r="I18" s="35" t="s">
        <v>5</v>
      </c>
      <c r="J18" s="5" t="s">
        <v>71</v>
      </c>
    </row>
    <row r="19" spans="1:10" s="5" customFormat="1" ht="15" customHeight="1">
      <c r="A19" s="4"/>
      <c r="B19" s="12" t="s">
        <v>27</v>
      </c>
      <c r="C19" s="11" t="s">
        <v>41</v>
      </c>
      <c r="D19" s="3"/>
      <c r="E19" s="4"/>
      <c r="F19" s="3"/>
      <c r="G19" s="4"/>
      <c r="H19" s="3"/>
      <c r="I19" s="7" t="s">
        <v>5</v>
      </c>
    </row>
    <row r="20" spans="1:10" ht="15" customHeight="1">
      <c r="B20" s="9"/>
      <c r="C20" s="10" t="s">
        <v>42</v>
      </c>
      <c r="D20" s="16"/>
      <c r="E20" s="30"/>
      <c r="F20" s="16"/>
      <c r="G20" s="30"/>
      <c r="H20" s="16" t="s">
        <v>61</v>
      </c>
      <c r="I20" s="35"/>
      <c r="J20" s="5" t="s">
        <v>72</v>
      </c>
    </row>
    <row r="21" spans="1:10" s="5" customFormat="1" ht="15" customHeight="1">
      <c r="A21" s="4"/>
      <c r="B21" s="12" t="s">
        <v>27</v>
      </c>
      <c r="C21" s="11" t="s">
        <v>43</v>
      </c>
      <c r="D21" s="25"/>
      <c r="E21" s="4"/>
      <c r="F21" s="25"/>
      <c r="G21" s="4"/>
      <c r="H21" s="25"/>
      <c r="I21" s="7" t="s">
        <v>5</v>
      </c>
    </row>
    <row r="22" spans="1:10" s="5" customFormat="1" ht="15" customHeight="1">
      <c r="A22" s="4"/>
      <c r="B22" s="12"/>
      <c r="C22" s="10" t="s">
        <v>44</v>
      </c>
      <c r="D22" s="16"/>
      <c r="E22" s="30"/>
      <c r="F22" s="16"/>
      <c r="G22" s="30"/>
      <c r="H22" s="16" t="s">
        <v>61</v>
      </c>
      <c r="I22" s="35"/>
      <c r="J22" s="5" t="s">
        <v>73</v>
      </c>
    </row>
    <row r="23" spans="1:10" s="5" customFormat="1" ht="15" customHeight="1">
      <c r="A23" s="4"/>
      <c r="B23" s="12" t="s">
        <v>27</v>
      </c>
      <c r="C23" s="11" t="s">
        <v>26</v>
      </c>
      <c r="D23" s="16"/>
      <c r="E23" s="30"/>
      <c r="F23" s="16"/>
      <c r="G23" s="30"/>
      <c r="H23" s="16" t="s">
        <v>61</v>
      </c>
      <c r="I23" s="35"/>
      <c r="J23" s="5" t="s">
        <v>74</v>
      </c>
    </row>
    <row r="24" spans="1:10" s="5" customFormat="1" ht="15" customHeight="1">
      <c r="A24" s="4"/>
      <c r="B24" s="4"/>
      <c r="C24" s="2"/>
      <c r="D24" s="24"/>
      <c r="E24" s="2"/>
      <c r="F24" s="24"/>
      <c r="G24" s="2"/>
      <c r="H24" s="24"/>
      <c r="I24" s="7"/>
    </row>
    <row r="25" spans="1:10" s="5" customFormat="1">
      <c r="A25" s="4"/>
      <c r="B25" s="65" t="s">
        <v>7</v>
      </c>
      <c r="C25" s="65"/>
      <c r="D25" s="24"/>
      <c r="E25" s="2"/>
      <c r="F25" s="24"/>
      <c r="G25" s="2"/>
      <c r="H25" s="24"/>
      <c r="I25" s="7" t="s">
        <v>5</v>
      </c>
    </row>
    <row r="26" spans="1:10" s="5" customFormat="1" ht="15" customHeight="1">
      <c r="A26" s="4"/>
      <c r="B26" s="12" t="s">
        <v>27</v>
      </c>
      <c r="C26" s="11" t="s">
        <v>28</v>
      </c>
      <c r="D26" s="16" t="s">
        <v>61</v>
      </c>
      <c r="E26" s="30"/>
      <c r="F26" s="16"/>
      <c r="G26" s="30"/>
      <c r="H26" s="16"/>
      <c r="I26" s="35" t="s">
        <v>5</v>
      </c>
      <c r="J26" s="5" t="s">
        <v>75</v>
      </c>
    </row>
    <row r="27" spans="1:10" s="5" customFormat="1" ht="15" customHeight="1">
      <c r="A27" s="4"/>
      <c r="B27" s="12" t="s">
        <v>27</v>
      </c>
      <c r="C27" s="11" t="s">
        <v>29</v>
      </c>
      <c r="D27" s="16"/>
      <c r="E27" s="30"/>
      <c r="F27" s="16" t="s">
        <v>61</v>
      </c>
      <c r="G27" s="30"/>
      <c r="H27" s="16"/>
      <c r="I27" s="35" t="s">
        <v>5</v>
      </c>
      <c r="J27" s="5" t="s">
        <v>95</v>
      </c>
    </row>
    <row r="28" spans="1:10" s="5" customFormat="1" ht="15" customHeight="1">
      <c r="A28" s="4"/>
      <c r="B28" s="12" t="s">
        <v>27</v>
      </c>
      <c r="C28" s="11" t="s">
        <v>30</v>
      </c>
      <c r="D28" s="16"/>
      <c r="E28" s="30"/>
      <c r="F28" s="16" t="s">
        <v>61</v>
      </c>
      <c r="G28" s="30"/>
      <c r="H28" s="16"/>
      <c r="I28" s="35" t="s">
        <v>5</v>
      </c>
    </row>
    <row r="29" spans="1:10" s="5" customFormat="1" ht="15" customHeight="1">
      <c r="A29" s="4"/>
      <c r="B29" s="12" t="s">
        <v>27</v>
      </c>
      <c r="C29" s="11" t="s">
        <v>31</v>
      </c>
      <c r="D29" s="16" t="s">
        <v>61</v>
      </c>
      <c r="E29" s="30"/>
      <c r="F29" s="16"/>
      <c r="G29" s="30"/>
      <c r="H29" s="16"/>
      <c r="I29" s="35"/>
      <c r="J29" s="5" t="s">
        <v>76</v>
      </c>
    </row>
    <row r="30" spans="1:10" s="5" customFormat="1" ht="15" customHeight="1">
      <c r="A30" s="4"/>
      <c r="B30" s="4"/>
      <c r="C30" s="2"/>
      <c r="D30" s="24"/>
      <c r="E30" s="2"/>
      <c r="F30" s="24"/>
      <c r="G30" s="2"/>
      <c r="H30" s="24"/>
      <c r="I30" s="7"/>
    </row>
    <row r="31" spans="1:10" s="5" customFormat="1">
      <c r="A31" s="4"/>
      <c r="B31" s="65" t="s">
        <v>8</v>
      </c>
      <c r="C31" s="65"/>
      <c r="D31" s="26"/>
      <c r="E31" s="17"/>
      <c r="F31" s="26"/>
      <c r="G31" s="17"/>
      <c r="H31" s="26"/>
      <c r="I31" s="7" t="s">
        <v>5</v>
      </c>
    </row>
    <row r="32" spans="1:10" s="5" customFormat="1" ht="15" customHeight="1">
      <c r="A32" s="4"/>
      <c r="B32" s="12" t="s">
        <v>27</v>
      </c>
      <c r="C32" s="11" t="s">
        <v>32</v>
      </c>
      <c r="D32" s="16"/>
      <c r="E32" s="30"/>
      <c r="F32" s="16"/>
      <c r="G32" s="30"/>
      <c r="H32" s="16" t="s">
        <v>61</v>
      </c>
      <c r="I32" s="35" t="s">
        <v>5</v>
      </c>
      <c r="J32" s="5" t="s">
        <v>77</v>
      </c>
    </row>
    <row r="33" spans="1:10" s="5" customFormat="1" ht="15" customHeight="1">
      <c r="A33" s="4"/>
      <c r="B33" s="12" t="s">
        <v>27</v>
      </c>
      <c r="C33" s="11" t="s">
        <v>33</v>
      </c>
      <c r="D33" s="16" t="s">
        <v>61</v>
      </c>
      <c r="E33" s="30"/>
      <c r="F33" s="16"/>
      <c r="G33" s="30"/>
      <c r="H33" s="16"/>
      <c r="I33" s="35" t="s">
        <v>5</v>
      </c>
      <c r="J33" s="5" t="s">
        <v>78</v>
      </c>
    </row>
    <row r="34" spans="1:10" s="5" customFormat="1" ht="15" customHeight="1">
      <c r="A34" s="4"/>
      <c r="B34" s="12" t="s">
        <v>27</v>
      </c>
      <c r="C34" s="11" t="s">
        <v>34</v>
      </c>
      <c r="D34" s="16" t="s">
        <v>61</v>
      </c>
      <c r="E34" s="30"/>
      <c r="F34" s="16"/>
      <c r="G34" s="30"/>
      <c r="H34" s="16"/>
      <c r="I34" s="35" t="s">
        <v>5</v>
      </c>
      <c r="J34" s="5" t="s">
        <v>79</v>
      </c>
    </row>
    <row r="35" spans="1:10" s="5" customFormat="1" ht="15" customHeight="1">
      <c r="A35" s="4"/>
      <c r="B35" s="12" t="s">
        <v>27</v>
      </c>
      <c r="C35" s="11" t="s">
        <v>35</v>
      </c>
      <c r="D35" s="16"/>
      <c r="E35" s="30"/>
      <c r="F35" s="16"/>
      <c r="G35" s="30"/>
      <c r="H35" s="16" t="s">
        <v>61</v>
      </c>
      <c r="I35" s="35" t="s">
        <v>5</v>
      </c>
      <c r="J35" s="5" t="s">
        <v>80</v>
      </c>
    </row>
    <row r="36" spans="1:10" s="5" customFormat="1" ht="15" customHeight="1">
      <c r="A36" s="4"/>
      <c r="B36" s="12" t="s">
        <v>27</v>
      </c>
      <c r="C36" s="11" t="s">
        <v>45</v>
      </c>
      <c r="D36" s="24"/>
      <c r="E36" s="2"/>
      <c r="F36" s="24"/>
      <c r="G36" s="2"/>
      <c r="H36" s="24"/>
      <c r="I36" s="7" t="s">
        <v>5</v>
      </c>
    </row>
    <row r="37" spans="1:10" ht="15" customHeight="1">
      <c r="B37" s="9"/>
      <c r="C37" s="10" t="s">
        <v>46</v>
      </c>
      <c r="D37" s="16"/>
      <c r="E37" s="30"/>
      <c r="F37" s="16"/>
      <c r="G37" s="30"/>
      <c r="H37" s="16" t="s">
        <v>61</v>
      </c>
      <c r="I37" s="35"/>
      <c r="J37" s="5" t="s">
        <v>97</v>
      </c>
    </row>
    <row r="38" spans="1:10" s="5" customFormat="1" ht="15" customHeight="1">
      <c r="A38" s="4"/>
      <c r="B38" s="12" t="s">
        <v>27</v>
      </c>
      <c r="C38" s="11" t="s">
        <v>36</v>
      </c>
      <c r="D38" s="16" t="s">
        <v>61</v>
      </c>
      <c r="E38" s="30"/>
      <c r="F38" s="16"/>
      <c r="G38" s="30"/>
      <c r="H38" s="16"/>
      <c r="I38" s="35" t="s">
        <v>5</v>
      </c>
      <c r="J38" s="5" t="s">
        <v>81</v>
      </c>
    </row>
    <row r="39" spans="1:10" s="5" customFormat="1" ht="15" customHeight="1">
      <c r="A39" s="4"/>
      <c r="B39" s="12" t="s">
        <v>27</v>
      </c>
      <c r="C39" s="11" t="s">
        <v>56</v>
      </c>
      <c r="D39" s="24"/>
      <c r="E39" s="2"/>
      <c r="F39" s="24"/>
      <c r="G39" s="2"/>
      <c r="H39" s="24"/>
      <c r="I39" s="7" t="s">
        <v>5</v>
      </c>
    </row>
    <row r="40" spans="1:10" s="5" customFormat="1" ht="15" customHeight="1">
      <c r="A40" s="4"/>
      <c r="B40" s="12"/>
      <c r="C40" s="10" t="s">
        <v>47</v>
      </c>
      <c r="D40" s="16"/>
      <c r="E40" s="30"/>
      <c r="F40" s="16"/>
      <c r="G40" s="30"/>
      <c r="H40" s="16" t="s">
        <v>61</v>
      </c>
      <c r="I40" s="35"/>
      <c r="J40" s="5" t="s">
        <v>82</v>
      </c>
    </row>
    <row r="41" spans="1:10" s="5" customFormat="1" ht="15" customHeight="1">
      <c r="A41" s="4"/>
      <c r="B41" s="12" t="s">
        <v>27</v>
      </c>
      <c r="C41" s="11" t="s">
        <v>83</v>
      </c>
      <c r="D41" s="16" t="s">
        <v>61</v>
      </c>
      <c r="E41" s="30"/>
      <c r="F41" s="16"/>
      <c r="G41" s="30"/>
      <c r="H41" s="16"/>
      <c r="I41" s="35"/>
      <c r="J41" s="14" t="s">
        <v>84</v>
      </c>
    </row>
    <row r="42" spans="1:10" s="5" customFormat="1" ht="15" customHeight="1">
      <c r="A42" s="4"/>
      <c r="B42" s="8"/>
      <c r="C42" s="7"/>
      <c r="D42" s="24"/>
      <c r="E42" s="2"/>
      <c r="F42" s="24"/>
      <c r="G42" s="2"/>
      <c r="H42" s="24"/>
      <c r="I42" s="7"/>
    </row>
    <row r="43" spans="1:10" s="5" customFormat="1" ht="15">
      <c r="A43" s="6" t="s">
        <v>15</v>
      </c>
      <c r="B43" s="64" t="s">
        <v>14</v>
      </c>
      <c r="C43" s="64"/>
      <c r="D43" s="24"/>
      <c r="E43" s="2"/>
      <c r="F43" s="24"/>
      <c r="G43" s="2"/>
      <c r="H43" s="24"/>
      <c r="I43" s="7" t="s">
        <v>5</v>
      </c>
    </row>
    <row r="44" spans="1:10" s="5" customFormat="1" ht="15" customHeight="1">
      <c r="A44" s="4"/>
      <c r="B44" s="12" t="s">
        <v>27</v>
      </c>
      <c r="C44" s="13" t="s">
        <v>37</v>
      </c>
      <c r="D44" s="16" t="s">
        <v>61</v>
      </c>
      <c r="E44" s="30"/>
      <c r="F44" s="16"/>
      <c r="G44" s="30"/>
      <c r="H44" s="16"/>
      <c r="I44" s="35" t="s">
        <v>5</v>
      </c>
      <c r="J44" s="5" t="s">
        <v>85</v>
      </c>
    </row>
    <row r="45" spans="1:10" s="5" customFormat="1" ht="15" customHeight="1">
      <c r="A45" s="4"/>
      <c r="B45" s="12" t="s">
        <v>27</v>
      </c>
      <c r="C45" s="11" t="s">
        <v>48</v>
      </c>
      <c r="D45" s="24"/>
      <c r="E45" s="2"/>
      <c r="F45" s="24"/>
      <c r="G45" s="2"/>
      <c r="H45" s="24"/>
      <c r="I45" s="7" t="s">
        <v>5</v>
      </c>
    </row>
    <row r="46" spans="1:10" s="5" customFormat="1" ht="15" customHeight="1">
      <c r="A46" s="4"/>
      <c r="B46" s="12"/>
      <c r="C46" s="10" t="s">
        <v>49</v>
      </c>
      <c r="D46" s="16" t="s">
        <v>61</v>
      </c>
      <c r="E46" s="30"/>
      <c r="F46" s="16"/>
      <c r="G46" s="30"/>
      <c r="H46" s="16"/>
      <c r="I46" s="35"/>
      <c r="J46" s="5" t="s">
        <v>86</v>
      </c>
    </row>
    <row r="47" spans="1:10" s="5" customFormat="1" ht="15" customHeight="1">
      <c r="A47" s="4"/>
      <c r="B47" s="12" t="s">
        <v>27</v>
      </c>
      <c r="C47" s="11" t="s">
        <v>50</v>
      </c>
      <c r="D47" s="24"/>
      <c r="E47" s="2"/>
      <c r="F47" s="24"/>
      <c r="G47" s="2"/>
      <c r="H47" s="24"/>
      <c r="I47" s="7" t="s">
        <v>5</v>
      </c>
    </row>
    <row r="48" spans="1:10" s="5" customFormat="1" ht="15" customHeight="1">
      <c r="A48" s="4"/>
      <c r="B48" s="12"/>
      <c r="C48" s="10" t="s">
        <v>51</v>
      </c>
      <c r="D48" s="16" t="s">
        <v>61</v>
      </c>
      <c r="E48" s="30"/>
      <c r="F48" s="16"/>
      <c r="G48" s="30"/>
      <c r="H48" s="16"/>
      <c r="I48" s="35"/>
      <c r="J48" s="5" t="s">
        <v>87</v>
      </c>
    </row>
    <row r="49" spans="1:10" s="5" customFormat="1" ht="15" customHeight="1">
      <c r="A49" s="4"/>
      <c r="B49" s="12" t="s">
        <v>27</v>
      </c>
      <c r="C49" s="11" t="s">
        <v>40</v>
      </c>
      <c r="D49" s="16" t="s">
        <v>61</v>
      </c>
      <c r="E49" s="30"/>
      <c r="F49" s="16"/>
      <c r="G49" s="30"/>
      <c r="H49" s="16"/>
      <c r="I49" s="35" t="s">
        <v>5</v>
      </c>
      <c r="J49" s="5" t="s">
        <v>88</v>
      </c>
    </row>
    <row r="50" spans="1:10" s="5" customFormat="1" ht="15" customHeight="1">
      <c r="A50" s="4"/>
      <c r="B50" s="12" t="s">
        <v>27</v>
      </c>
      <c r="C50" s="11" t="s">
        <v>38</v>
      </c>
      <c r="D50" s="16"/>
      <c r="E50" s="30"/>
      <c r="F50" s="16"/>
      <c r="G50" s="30"/>
      <c r="H50" s="16" t="s">
        <v>61</v>
      </c>
      <c r="I50" s="35" t="s">
        <v>5</v>
      </c>
      <c r="J50" s="5" t="s">
        <v>89</v>
      </c>
    </row>
    <row r="51" spans="1:10" s="5" customFormat="1" ht="15" customHeight="1">
      <c r="A51" s="4"/>
      <c r="B51" s="12" t="s">
        <v>27</v>
      </c>
      <c r="C51" s="11" t="s">
        <v>52</v>
      </c>
      <c r="D51" s="24"/>
      <c r="E51" s="2"/>
      <c r="F51" s="24"/>
      <c r="G51" s="2"/>
      <c r="H51" s="24"/>
      <c r="I51" s="7" t="s">
        <v>5</v>
      </c>
    </row>
    <row r="52" spans="1:10" s="5" customFormat="1" ht="15" customHeight="1">
      <c r="A52" s="4"/>
      <c r="B52" s="12"/>
      <c r="C52" s="10" t="s">
        <v>53</v>
      </c>
      <c r="D52" s="16"/>
      <c r="E52" s="30"/>
      <c r="F52" s="16"/>
      <c r="G52" s="30"/>
      <c r="H52" s="16" t="s">
        <v>61</v>
      </c>
      <c r="I52" s="35"/>
      <c r="J52" s="5" t="s">
        <v>90</v>
      </c>
    </row>
    <row r="53" spans="1:10" s="5" customFormat="1" ht="15" customHeight="1">
      <c r="A53" s="4"/>
      <c r="B53" s="12" t="s">
        <v>27</v>
      </c>
      <c r="C53" s="11" t="s">
        <v>39</v>
      </c>
      <c r="D53" s="16"/>
      <c r="E53" s="30"/>
      <c r="F53" s="16"/>
      <c r="G53" s="30"/>
      <c r="H53" s="16" t="s">
        <v>61</v>
      </c>
      <c r="I53" s="35"/>
      <c r="J53" s="5" t="s">
        <v>91</v>
      </c>
    </row>
    <row r="54" spans="1:10" s="5" customFormat="1" ht="15" customHeight="1">
      <c r="A54" s="4"/>
      <c r="B54" s="8"/>
      <c r="C54" s="7"/>
      <c r="D54" s="24"/>
      <c r="E54" s="2"/>
      <c r="F54" s="24"/>
      <c r="G54" s="2"/>
      <c r="H54" s="24"/>
      <c r="I54" s="7"/>
    </row>
    <row r="55" spans="1:10" s="5" customFormat="1" ht="15">
      <c r="A55" s="6" t="s">
        <v>17</v>
      </c>
      <c r="B55" s="64" t="s">
        <v>16</v>
      </c>
      <c r="C55" s="64"/>
      <c r="D55" s="24"/>
      <c r="E55" s="2"/>
      <c r="F55" s="24"/>
      <c r="G55" s="2"/>
      <c r="H55" s="24"/>
      <c r="I55" s="7" t="s">
        <v>5</v>
      </c>
    </row>
    <row r="56" spans="1:10" s="5" customFormat="1" ht="15" customHeight="1">
      <c r="A56" s="4"/>
      <c r="B56" s="12" t="s">
        <v>27</v>
      </c>
      <c r="C56" s="11" t="s">
        <v>54</v>
      </c>
      <c r="D56" s="24"/>
      <c r="E56" s="2"/>
      <c r="F56" s="24"/>
      <c r="G56" s="2"/>
      <c r="H56" s="24"/>
      <c r="I56" s="7"/>
    </row>
    <row r="57" spans="1:10" s="5" customFormat="1" ht="15" customHeight="1">
      <c r="A57" s="4"/>
      <c r="B57" s="12"/>
      <c r="C57" s="10" t="s">
        <v>55</v>
      </c>
      <c r="D57" s="16" t="s">
        <v>61</v>
      </c>
      <c r="E57" s="30"/>
      <c r="F57" s="16"/>
      <c r="G57" s="30"/>
      <c r="H57" s="16"/>
      <c r="I57" s="35"/>
      <c r="J57" s="5" t="s">
        <v>92</v>
      </c>
    </row>
    <row r="58" spans="1:10" s="5" customFormat="1" ht="15" customHeight="1">
      <c r="A58" s="4"/>
      <c r="B58" s="4"/>
      <c r="C58" s="7"/>
      <c r="D58" s="27"/>
      <c r="E58" s="32"/>
      <c r="F58" s="27"/>
      <c r="G58" s="32"/>
      <c r="H58" s="27"/>
      <c r="I58" s="1"/>
    </row>
    <row r="59" spans="1:10" s="5" customFormat="1" ht="15" customHeight="1">
      <c r="A59" s="4"/>
      <c r="B59" s="4"/>
      <c r="C59" s="56" t="s">
        <v>100</v>
      </c>
      <c r="D59" s="24"/>
      <c r="E59" s="2"/>
      <c r="F59" s="24"/>
      <c r="G59" s="2"/>
      <c r="H59" s="24"/>
      <c r="I59" s="7"/>
    </row>
    <row r="60" spans="1:10" s="5" customFormat="1" ht="15" customHeight="1">
      <c r="A60" s="4"/>
      <c r="B60" s="4"/>
      <c r="C60" s="20"/>
      <c r="D60" s="28"/>
      <c r="E60" s="20"/>
      <c r="F60" s="28"/>
      <c r="G60" s="20"/>
      <c r="H60" s="28"/>
      <c r="I60" s="36"/>
    </row>
    <row r="61" spans="1:10" s="5" customFormat="1" ht="15" customHeight="1">
      <c r="A61" s="4"/>
      <c r="B61" s="4"/>
      <c r="C61" s="57" t="s">
        <v>101</v>
      </c>
      <c r="D61" s="27"/>
      <c r="E61" s="32"/>
      <c r="F61" s="27"/>
      <c r="G61" s="32"/>
      <c r="H61" s="27"/>
      <c r="I61" s="1"/>
    </row>
    <row r="62" spans="1:10" s="5" customFormat="1" ht="15" customHeight="1">
      <c r="A62" s="4"/>
      <c r="B62" s="4"/>
      <c r="C62" s="20"/>
      <c r="D62" s="28"/>
      <c r="E62" s="20"/>
      <c r="F62" s="28"/>
      <c r="G62" s="20"/>
      <c r="H62" s="28"/>
      <c r="I62" s="36"/>
    </row>
    <row r="63" spans="1:10">
      <c r="J63" s="5"/>
    </row>
    <row r="64" spans="1:10">
      <c r="J64" s="5"/>
    </row>
    <row r="65" spans="10:10">
      <c r="J65" s="5"/>
    </row>
    <row r="66" spans="10:10">
      <c r="J66" s="5"/>
    </row>
    <row r="67" spans="10:10">
      <c r="J67" s="5"/>
    </row>
    <row r="68" spans="10:10">
      <c r="J68" s="5"/>
    </row>
    <row r="69" spans="10:10">
      <c r="J69" s="5"/>
    </row>
    <row r="70" spans="10:10">
      <c r="J70" s="5"/>
    </row>
    <row r="71" spans="10:10">
      <c r="J71" s="5"/>
    </row>
    <row r="72" spans="10:10">
      <c r="J72" s="5"/>
    </row>
    <row r="73" spans="10:10">
      <c r="J73" s="5"/>
    </row>
    <row r="74" spans="10:10">
      <c r="J74" s="5"/>
    </row>
    <row r="75" spans="10:10">
      <c r="J75" s="5"/>
    </row>
    <row r="76" spans="10:10">
      <c r="J76" s="5"/>
    </row>
    <row r="77" spans="10:10">
      <c r="J77" s="5"/>
    </row>
    <row r="78" spans="10:10">
      <c r="J78" s="5"/>
    </row>
    <row r="79" spans="10:10">
      <c r="J79" s="5"/>
    </row>
    <row r="80" spans="10:10">
      <c r="J80" s="5"/>
    </row>
    <row r="81" spans="10:10">
      <c r="J81" s="5"/>
    </row>
    <row r="82" spans="10:10">
      <c r="J82" s="5"/>
    </row>
    <row r="83" spans="10:10">
      <c r="J83" s="5"/>
    </row>
    <row r="84" spans="10:10">
      <c r="J84" s="5"/>
    </row>
    <row r="85" spans="10:10">
      <c r="J85" s="5"/>
    </row>
    <row r="86" spans="10:10">
      <c r="J86" s="5"/>
    </row>
    <row r="87" spans="10:10">
      <c r="J87" s="5"/>
    </row>
    <row r="88" spans="10:10">
      <c r="J88" s="5"/>
    </row>
  </sheetData>
  <sheetProtection selectLockedCells="1"/>
  <mergeCells count="8">
    <mergeCell ref="D2:H2"/>
    <mergeCell ref="B11:C11"/>
    <mergeCell ref="B43:C43"/>
    <mergeCell ref="B55:C55"/>
    <mergeCell ref="B12:C12"/>
    <mergeCell ref="B25:C25"/>
    <mergeCell ref="B31:C31"/>
    <mergeCell ref="B4:C4"/>
  </mergeCells>
  <phoneticPr fontId="0" type="noConversion"/>
  <pageMargins left="0.6692913385826772" right="0.39370078740157483" top="0.74803149606299213" bottom="0.43307086614173229" header="0.31496062992125984" footer="0.27559055118110237"/>
  <pageSetup paperSize="9" scale="88" fitToHeight="2" orientation="landscape" r:id="rId1"/>
  <headerFooter>
    <oddHeader>&amp;R&amp;G</oddHeader>
    <oddFooter>&amp;R&amp;"Arial,Fett"&amp;9 311.045.QCL / V 5.0 / &amp;"Arial,Standard"&amp;8Gültig ab: 01.02.2016 / Seite &amp;P (&amp;N)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2065" r:id="rId5" name="CommandButton2">
          <controlPr defaultSize="0" print="0" autoFill="0" autoLine="0" r:id="rId6">
            <anchor moveWithCells="1">
              <from>
                <xdr:col>2</xdr:col>
                <xdr:colOff>4352925</xdr:colOff>
                <xdr:row>1</xdr:row>
                <xdr:rowOff>152400</xdr:rowOff>
              </from>
              <to>
                <xdr:col>2</xdr:col>
                <xdr:colOff>5486400</xdr:colOff>
                <xdr:row>2</xdr:row>
                <xdr:rowOff>438150</xdr:rowOff>
              </to>
            </anchor>
          </controlPr>
        </control>
      </mc:Choice>
      <mc:Fallback>
        <control shapeId="2065" r:id="rId5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>
    <pageSetUpPr fitToPage="1"/>
  </sheetPr>
  <dimension ref="A1:G55"/>
  <sheetViews>
    <sheetView workbookViewId="0">
      <selection sqref="A1:E1"/>
    </sheetView>
  </sheetViews>
  <sheetFormatPr baseColWidth="10" defaultRowHeight="12.75"/>
  <cols>
    <col min="1" max="1" width="4.5703125" style="22" customWidth="1"/>
    <col min="2" max="2" width="122" customWidth="1"/>
    <col min="3" max="3" width="18.42578125" style="22" customWidth="1"/>
    <col min="4" max="4" width="14.140625" style="22" customWidth="1"/>
    <col min="5" max="5" width="12.140625" style="22" customWidth="1"/>
    <col min="6" max="6" width="6.140625" style="3" hidden="1" customWidth="1"/>
  </cols>
  <sheetData>
    <row r="1" spans="1:7" ht="32.25" customHeight="1">
      <c r="A1" s="66" t="s">
        <v>57</v>
      </c>
      <c r="B1" s="66"/>
      <c r="C1" s="66"/>
      <c r="D1" s="66"/>
      <c r="E1" s="66"/>
      <c r="F1" s="25" t="s">
        <v>61</v>
      </c>
    </row>
    <row r="2" spans="1:7">
      <c r="A2" s="37"/>
      <c r="B2" s="68"/>
      <c r="C2" s="68"/>
      <c r="D2" s="68"/>
      <c r="E2" s="68"/>
      <c r="F2" s="3" t="s">
        <v>61</v>
      </c>
    </row>
    <row r="3" spans="1:7">
      <c r="B3" s="69" t="s">
        <v>103</v>
      </c>
      <c r="C3" s="69"/>
      <c r="D3" s="69"/>
      <c r="E3" s="69"/>
      <c r="F3" s="3" t="s">
        <v>61</v>
      </c>
    </row>
    <row r="4" spans="1:7">
      <c r="B4" s="69">
        <v>9879</v>
      </c>
      <c r="C4" s="69"/>
      <c r="D4" s="69"/>
      <c r="E4" s="69"/>
      <c r="F4" s="3" t="s">
        <v>61</v>
      </c>
    </row>
    <row r="5" spans="1:7">
      <c r="B5" s="69" t="s">
        <v>104</v>
      </c>
      <c r="C5" s="69"/>
      <c r="D5" s="69"/>
      <c r="E5" s="69"/>
      <c r="F5" s="3" t="s">
        <v>61</v>
      </c>
      <c r="G5" s="18"/>
    </row>
    <row r="6" spans="1:7">
      <c r="B6" s="69"/>
      <c r="C6" s="69"/>
      <c r="D6" s="69"/>
      <c r="E6" s="69"/>
      <c r="F6" s="3" t="s">
        <v>61</v>
      </c>
      <c r="G6" s="18"/>
    </row>
    <row r="7" spans="1:7" ht="15.95" customHeight="1">
      <c r="A7" s="67" t="s">
        <v>63</v>
      </c>
      <c r="B7" s="67"/>
      <c r="C7" s="67"/>
      <c r="D7" s="67"/>
      <c r="E7" s="67"/>
      <c r="F7" s="3" t="s">
        <v>61</v>
      </c>
      <c r="G7" s="18"/>
    </row>
    <row r="8" spans="1:7" ht="17.100000000000001" customHeight="1">
      <c r="A8" s="38" t="s">
        <v>62</v>
      </c>
      <c r="B8" s="39" t="s">
        <v>58</v>
      </c>
      <c r="C8" s="40" t="s">
        <v>59</v>
      </c>
      <c r="D8" s="40" t="s">
        <v>60</v>
      </c>
      <c r="E8" s="41" t="s">
        <v>96</v>
      </c>
      <c r="F8" s="3" t="s">
        <v>61</v>
      </c>
      <c r="G8" s="18"/>
    </row>
    <row r="9" spans="1:7" ht="15.95" customHeight="1">
      <c r="A9" s="42">
        <f>0+(F9=TRUE)</f>
        <v>0</v>
      </c>
      <c r="B9" s="43" t="str">
        <f>IF(Startcheck!F5&lt;&gt;"",Startcheck!J5,"")</f>
        <v/>
      </c>
      <c r="C9" s="44"/>
      <c r="D9" s="45"/>
      <c r="E9" s="46"/>
      <c r="F9" s="15" t="str">
        <f>IF(B9&lt;&gt;"",TRUE,"")</f>
        <v/>
      </c>
      <c r="G9" s="18"/>
    </row>
    <row r="10" spans="1:7" ht="15.95" customHeight="1">
      <c r="A10" s="47">
        <f t="shared" ref="A10:A37" si="0">A9+(F10=TRUE)</f>
        <v>0</v>
      </c>
      <c r="B10" s="48" t="str">
        <f>IF(Startcheck!D6&lt;&gt;"",Startcheck!J6,"")</f>
        <v/>
      </c>
      <c r="C10" s="49"/>
      <c r="D10" s="49"/>
      <c r="E10" s="50"/>
      <c r="F10" s="15" t="str">
        <f t="shared" ref="F10:F41" si="1">IF(B10&lt;&gt;"",TRUE,"")</f>
        <v/>
      </c>
    </row>
    <row r="11" spans="1:7" ht="15.95" customHeight="1">
      <c r="A11" s="47">
        <f t="shared" si="0"/>
        <v>0</v>
      </c>
      <c r="B11" s="48" t="str">
        <f>IF(Startcheck!F7&lt;&gt;"",Startcheck!J7,"")</f>
        <v/>
      </c>
      <c r="C11" s="49"/>
      <c r="D11" s="49"/>
      <c r="E11" s="50"/>
      <c r="F11" s="15" t="str">
        <f t="shared" si="1"/>
        <v/>
      </c>
    </row>
    <row r="12" spans="1:7" ht="15.95" customHeight="1">
      <c r="A12" s="47">
        <f t="shared" si="0"/>
        <v>0</v>
      </c>
      <c r="B12" s="48" t="str">
        <f>IF(Startcheck!F8&lt;&gt;"",Startcheck!J8,"")</f>
        <v/>
      </c>
      <c r="C12" s="49"/>
      <c r="D12" s="49"/>
      <c r="E12" s="50"/>
      <c r="F12" s="15" t="str">
        <f t="shared" si="1"/>
        <v/>
      </c>
    </row>
    <row r="13" spans="1:7" ht="15.95" customHeight="1">
      <c r="A13" s="47">
        <f t="shared" si="0"/>
        <v>0</v>
      </c>
      <c r="B13" s="48" t="str">
        <f>IF(Startcheck!D9&lt;&gt;"",Startcheck!J9,"")</f>
        <v/>
      </c>
      <c r="C13" s="49"/>
      <c r="D13" s="49"/>
      <c r="E13" s="50"/>
      <c r="F13" s="15" t="str">
        <f t="shared" si="1"/>
        <v/>
      </c>
      <c r="G13" s="18"/>
    </row>
    <row r="14" spans="1:7" ht="15.95" customHeight="1">
      <c r="A14" s="47">
        <f t="shared" si="0"/>
        <v>1</v>
      </c>
      <c r="B14" s="48" t="str">
        <f>IF(Startcheck!D13&lt;&gt;"",Startcheck!J13,"")</f>
        <v>Externe Terminvorgaben oder Meilensteine besorgen</v>
      </c>
      <c r="C14" s="49"/>
      <c r="D14" s="49"/>
      <c r="E14" s="50"/>
      <c r="F14" s="15" t="b">
        <f t="shared" si="1"/>
        <v>1</v>
      </c>
      <c r="G14" s="18"/>
    </row>
    <row r="15" spans="1:7" ht="15.95" customHeight="1">
      <c r="A15" s="47">
        <f t="shared" si="0"/>
        <v>1</v>
      </c>
      <c r="B15" s="48" t="str">
        <f>IF(Startcheck!F14&lt;&gt;"",Startcheck!J14,"")</f>
        <v/>
      </c>
      <c r="C15" s="49"/>
      <c r="D15" s="49"/>
      <c r="E15" s="50"/>
      <c r="F15" s="15" t="str">
        <f t="shared" si="1"/>
        <v/>
      </c>
      <c r="G15" s="18"/>
    </row>
    <row r="16" spans="1:7" ht="15.95" customHeight="1">
      <c r="A16" s="47">
        <f t="shared" si="0"/>
        <v>1</v>
      </c>
      <c r="B16" s="48" t="str">
        <f>IF(Startcheck!F15&lt;&gt;"",Startcheck!J15,"")</f>
        <v/>
      </c>
      <c r="C16" s="49"/>
      <c r="D16" s="49"/>
      <c r="E16" s="50"/>
      <c r="F16" s="15" t="str">
        <f t="shared" si="1"/>
        <v/>
      </c>
      <c r="G16" s="18"/>
    </row>
    <row r="17" spans="1:7" ht="15.95" customHeight="1">
      <c r="A17" s="47">
        <f t="shared" si="0"/>
        <v>1</v>
      </c>
      <c r="B17" s="48" t="str">
        <f>IF(Startcheck!F16&lt;&gt;"",Startcheck!J16,"")</f>
        <v/>
      </c>
      <c r="C17" s="49"/>
      <c r="D17" s="49"/>
      <c r="E17" s="50"/>
      <c r="F17" s="15" t="str">
        <f t="shared" si="1"/>
        <v/>
      </c>
      <c r="G17" s="18"/>
    </row>
    <row r="18" spans="1:7" ht="15.95" customHeight="1">
      <c r="A18" s="47">
        <f t="shared" si="0"/>
        <v>1</v>
      </c>
      <c r="B18" s="48" t="str">
        <f>IF(Startcheck!F17&lt;&gt;"",Startcheck!J17,"")</f>
        <v/>
      </c>
      <c r="C18" s="49"/>
      <c r="D18" s="49"/>
      <c r="E18" s="50"/>
      <c r="F18" s="15" t="str">
        <f t="shared" si="1"/>
        <v/>
      </c>
      <c r="G18" s="18"/>
    </row>
    <row r="19" spans="1:7" ht="15.95" customHeight="1">
      <c r="A19" s="47">
        <f t="shared" si="0"/>
        <v>1</v>
      </c>
      <c r="B19" s="48" t="str">
        <f>IF(Startcheck!F18&lt;&gt;"",Startcheck!J18,"")</f>
        <v/>
      </c>
      <c r="C19" s="49"/>
      <c r="D19" s="49"/>
      <c r="E19" s="50"/>
      <c r="F19" s="15" t="str">
        <f t="shared" si="1"/>
        <v/>
      </c>
    </row>
    <row r="20" spans="1:7" ht="15.95" customHeight="1">
      <c r="A20" s="47">
        <f t="shared" si="0"/>
        <v>1</v>
      </c>
      <c r="B20" s="48" t="str">
        <f>IF(Startcheck!F20&lt;&gt;"",Startcheck!J20,"")</f>
        <v/>
      </c>
      <c r="C20" s="49"/>
      <c r="D20" s="49"/>
      <c r="E20" s="50"/>
      <c r="F20" s="15" t="str">
        <f t="shared" si="1"/>
        <v/>
      </c>
      <c r="G20" s="18"/>
    </row>
    <row r="21" spans="1:7" ht="15.95" customHeight="1">
      <c r="A21" s="47">
        <f t="shared" si="0"/>
        <v>1</v>
      </c>
      <c r="B21" s="48" t="str">
        <f>IF(Startcheck!F22&lt;&gt;"",Startcheck!J22,"")</f>
        <v/>
      </c>
      <c r="C21" s="49"/>
      <c r="D21" s="49"/>
      <c r="E21" s="50"/>
      <c r="F21" s="15" t="str">
        <f t="shared" si="1"/>
        <v/>
      </c>
    </row>
    <row r="22" spans="1:7" ht="15.95" customHeight="1">
      <c r="A22" s="47">
        <f t="shared" si="0"/>
        <v>1</v>
      </c>
      <c r="B22" s="48" t="str">
        <f>IF(Startcheck!F23&lt;&gt;"",Startcheck!J23,"")</f>
        <v/>
      </c>
      <c r="C22" s="49"/>
      <c r="D22" s="49"/>
      <c r="E22" s="50"/>
      <c r="F22" s="15" t="str">
        <f t="shared" si="1"/>
        <v/>
      </c>
      <c r="G22" s="18"/>
    </row>
    <row r="23" spans="1:7" ht="15.95" customHeight="1">
      <c r="A23" s="47">
        <f t="shared" si="0"/>
        <v>1</v>
      </c>
      <c r="B23" s="48" t="str">
        <f>IF(Startcheck!F26&lt;&gt;"",Startcheck!J26,"")</f>
        <v/>
      </c>
      <c r="C23" s="49"/>
      <c r="D23" s="49"/>
      <c r="E23" s="50"/>
      <c r="F23" s="15" t="str">
        <f t="shared" si="1"/>
        <v/>
      </c>
      <c r="G23" s="18"/>
    </row>
    <row r="24" spans="1:7" ht="15.95" customHeight="1">
      <c r="A24" s="47">
        <f t="shared" si="0"/>
        <v>1</v>
      </c>
      <c r="B24" s="48" t="str">
        <f>IF(Startcheck!D27&lt;&gt;"",Startcheck!J27,"")</f>
        <v/>
      </c>
      <c r="C24" s="49"/>
      <c r="D24" s="49"/>
      <c r="E24" s="50"/>
      <c r="F24" s="15" t="str">
        <f t="shared" si="1"/>
        <v/>
      </c>
    </row>
    <row r="25" spans="1:7" ht="15.95" customHeight="1">
      <c r="A25" s="47">
        <f t="shared" si="0"/>
        <v>1</v>
      </c>
      <c r="B25" s="48" t="str">
        <f>IF(Startcheck!F29&lt;&gt;"",Startcheck!J29,"")</f>
        <v/>
      </c>
      <c r="C25" s="49"/>
      <c r="D25" s="49"/>
      <c r="E25" s="50"/>
      <c r="F25" s="15" t="str">
        <f t="shared" si="1"/>
        <v/>
      </c>
      <c r="G25" s="18"/>
    </row>
    <row r="26" spans="1:7" ht="15.95" customHeight="1">
      <c r="A26" s="47">
        <f t="shared" si="0"/>
        <v>1</v>
      </c>
      <c r="B26" s="48" t="str">
        <f>IF(Startcheck!F32&lt;&gt;"",Startcheck!J32,"")</f>
        <v/>
      </c>
      <c r="C26" s="49"/>
      <c r="D26" s="49"/>
      <c r="E26" s="50"/>
      <c r="F26" s="15" t="str">
        <f t="shared" si="1"/>
        <v/>
      </c>
      <c r="G26" s="18"/>
    </row>
    <row r="27" spans="1:7" ht="15.95" customHeight="1">
      <c r="A27" s="47">
        <f t="shared" si="0"/>
        <v>1</v>
      </c>
      <c r="B27" s="48" t="str">
        <f>IF(Startcheck!F33&lt;&gt;"",Startcheck!J33,"")</f>
        <v/>
      </c>
      <c r="C27" s="49"/>
      <c r="D27" s="49"/>
      <c r="E27" s="50"/>
      <c r="F27" s="15" t="str">
        <f t="shared" si="1"/>
        <v/>
      </c>
      <c r="G27" s="18"/>
    </row>
    <row r="28" spans="1:7" ht="15.95" customHeight="1">
      <c r="A28" s="47">
        <f t="shared" si="0"/>
        <v>1</v>
      </c>
      <c r="B28" s="48" t="str">
        <f>IF(Startcheck!F34&lt;&gt;"",Startcheck!J34,"")</f>
        <v/>
      </c>
      <c r="C28" s="49"/>
      <c r="D28" s="49"/>
      <c r="E28" s="50"/>
      <c r="F28" s="15" t="str">
        <f t="shared" si="1"/>
        <v/>
      </c>
      <c r="G28" s="18"/>
    </row>
    <row r="29" spans="1:7" ht="15.95" customHeight="1">
      <c r="A29" s="47">
        <f t="shared" si="0"/>
        <v>1</v>
      </c>
      <c r="B29" s="48" t="str">
        <f>IF(Startcheck!F35&lt;&gt;"",Startcheck!J35,"")</f>
        <v/>
      </c>
      <c r="C29" s="49"/>
      <c r="D29" s="49"/>
      <c r="E29" s="50"/>
      <c r="F29" s="15" t="str">
        <f t="shared" si="1"/>
        <v/>
      </c>
    </row>
    <row r="30" spans="1:7" ht="15.95" customHeight="1">
      <c r="A30" s="47">
        <f t="shared" si="0"/>
        <v>1</v>
      </c>
      <c r="B30" s="48" t="str">
        <f>IF(Startcheck!F37&lt;&gt;"",Startcheck!J37,"")</f>
        <v/>
      </c>
      <c r="C30" s="49"/>
      <c r="D30" s="49"/>
      <c r="E30" s="50"/>
      <c r="F30" s="15" t="str">
        <f t="shared" si="1"/>
        <v/>
      </c>
    </row>
    <row r="31" spans="1:7" ht="15.95" customHeight="1">
      <c r="A31" s="47">
        <f t="shared" si="0"/>
        <v>1</v>
      </c>
      <c r="B31" s="48" t="str">
        <f>IF(Startcheck!F38&lt;&gt;"",Startcheck!J38,"")</f>
        <v/>
      </c>
      <c r="C31" s="49"/>
      <c r="D31" s="49"/>
      <c r="E31" s="50"/>
      <c r="F31" s="15" t="str">
        <f t="shared" si="1"/>
        <v/>
      </c>
      <c r="G31" s="18"/>
    </row>
    <row r="32" spans="1:7" ht="15.95" customHeight="1">
      <c r="A32" s="47">
        <f t="shared" si="0"/>
        <v>1</v>
      </c>
      <c r="B32" s="48" t="str">
        <f>IF(Startcheck!F40&lt;&gt;"",Startcheck!J40,"")</f>
        <v/>
      </c>
      <c r="C32" s="49"/>
      <c r="D32" s="49"/>
      <c r="E32" s="50"/>
      <c r="F32" s="15" t="str">
        <f t="shared" si="1"/>
        <v/>
      </c>
      <c r="G32" s="18"/>
    </row>
    <row r="33" spans="1:7" ht="15.95" customHeight="1">
      <c r="A33" s="47">
        <f t="shared" si="0"/>
        <v>1</v>
      </c>
      <c r="B33" s="48" t="str">
        <f>IF(Startcheck!F41&lt;&gt;"",Startcheck!J41,"")</f>
        <v/>
      </c>
      <c r="C33" s="49"/>
      <c r="D33" s="49"/>
      <c r="E33" s="50"/>
      <c r="F33" s="15" t="str">
        <f t="shared" si="1"/>
        <v/>
      </c>
      <c r="G33" s="18"/>
    </row>
    <row r="34" spans="1:7" ht="15.95" customHeight="1">
      <c r="A34" s="47">
        <f t="shared" si="0"/>
        <v>1</v>
      </c>
      <c r="B34" s="48" t="str">
        <f>IF(Startcheck!F44&lt;&gt;"",Startcheck!J44,"")</f>
        <v/>
      </c>
      <c r="C34" s="49"/>
      <c r="D34" s="49"/>
      <c r="E34" s="50"/>
      <c r="F34" s="15" t="str">
        <f t="shared" si="1"/>
        <v/>
      </c>
      <c r="G34" s="18"/>
    </row>
    <row r="35" spans="1:7" ht="15.95" customHeight="1">
      <c r="A35" s="47">
        <f t="shared" si="0"/>
        <v>1</v>
      </c>
      <c r="B35" s="48" t="str">
        <f>IF(Startcheck!F46&lt;&gt;"",Startcheck!J46,"")</f>
        <v/>
      </c>
      <c r="C35" s="49"/>
      <c r="D35" s="49"/>
      <c r="E35" s="50"/>
      <c r="F35" s="15" t="str">
        <f t="shared" si="1"/>
        <v/>
      </c>
    </row>
    <row r="36" spans="1:7" ht="15.95" customHeight="1">
      <c r="A36" s="47">
        <f t="shared" si="0"/>
        <v>1</v>
      </c>
      <c r="B36" s="48" t="str">
        <f>IF(Startcheck!F48&lt;&gt;"",Startcheck!J48,"")</f>
        <v/>
      </c>
      <c r="C36" s="49"/>
      <c r="D36" s="49"/>
      <c r="E36" s="50"/>
      <c r="F36" s="15" t="str">
        <f t="shared" si="1"/>
        <v/>
      </c>
      <c r="G36" s="18"/>
    </row>
    <row r="37" spans="1:7" ht="15.95" customHeight="1">
      <c r="A37" s="47">
        <f t="shared" si="0"/>
        <v>1</v>
      </c>
      <c r="B37" s="48" t="str">
        <f>IF(Startcheck!F49&lt;&gt;"",Startcheck!J49,"")</f>
        <v/>
      </c>
      <c r="C37" s="49"/>
      <c r="D37" s="49"/>
      <c r="E37" s="50"/>
      <c r="F37" s="15" t="str">
        <f t="shared" si="1"/>
        <v/>
      </c>
      <c r="G37" s="18"/>
    </row>
    <row r="38" spans="1:7" ht="15.95" customHeight="1">
      <c r="A38" s="47">
        <f t="shared" ref="A38:A41" si="2">A37+(F38=TRUE)</f>
        <v>1</v>
      </c>
      <c r="B38" s="48" t="str">
        <f>IF(Startcheck!F50&lt;&gt;"",Startcheck!J50,"")</f>
        <v/>
      </c>
      <c r="C38" s="49"/>
      <c r="D38" s="49"/>
      <c r="E38" s="50"/>
      <c r="F38" s="15" t="str">
        <f t="shared" si="1"/>
        <v/>
      </c>
      <c r="G38" s="18"/>
    </row>
    <row r="39" spans="1:7" ht="15.95" customHeight="1">
      <c r="A39" s="47">
        <f t="shared" si="2"/>
        <v>1</v>
      </c>
      <c r="B39" s="48" t="str">
        <f>IF(Startcheck!F52&lt;&gt;"",Startcheck!J52,"")</f>
        <v/>
      </c>
      <c r="C39" s="49"/>
      <c r="D39" s="49"/>
      <c r="E39" s="50"/>
      <c r="F39" s="15" t="str">
        <f t="shared" si="1"/>
        <v/>
      </c>
      <c r="G39" s="18"/>
    </row>
    <row r="40" spans="1:7" ht="15.95" customHeight="1">
      <c r="A40" s="47">
        <f t="shared" si="2"/>
        <v>1</v>
      </c>
      <c r="B40" s="48" t="str">
        <f>IF(Startcheck!D53&lt;&gt;"",Startcheck!J53,"")</f>
        <v/>
      </c>
      <c r="C40" s="49"/>
      <c r="D40" s="49"/>
      <c r="E40" s="50"/>
      <c r="F40" s="15" t="str">
        <f t="shared" si="1"/>
        <v/>
      </c>
      <c r="G40" s="18"/>
    </row>
    <row r="41" spans="1:7" ht="15.95" customHeight="1">
      <c r="A41" s="51">
        <f t="shared" si="2"/>
        <v>1</v>
      </c>
      <c r="B41" s="52" t="str">
        <f>IF(Startcheck!F57&lt;&gt;"",Startcheck!J57,"")</f>
        <v/>
      </c>
      <c r="C41" s="53"/>
      <c r="D41" s="53"/>
      <c r="E41" s="54"/>
      <c r="F41" s="15" t="str">
        <f t="shared" si="1"/>
        <v/>
      </c>
      <c r="G41" s="18"/>
    </row>
    <row r="42" spans="1:7">
      <c r="G42" s="18"/>
    </row>
    <row r="44" spans="1:7">
      <c r="G44" s="18"/>
    </row>
    <row r="46" spans="1:7">
      <c r="G46" s="18"/>
    </row>
    <row r="47" spans="1:7">
      <c r="G47" s="18"/>
    </row>
    <row r="48" spans="1:7">
      <c r="G48" s="18"/>
    </row>
    <row r="50" spans="7:7">
      <c r="G50" s="18"/>
    </row>
    <row r="51" spans="7:7">
      <c r="G51" s="18"/>
    </row>
    <row r="55" spans="7:7">
      <c r="G55" s="18"/>
    </row>
  </sheetData>
  <mergeCells count="7">
    <mergeCell ref="A1:E1"/>
    <mergeCell ref="A7:E7"/>
    <mergeCell ref="B2:E2"/>
    <mergeCell ref="B3:E3"/>
    <mergeCell ref="B4:E4"/>
    <mergeCell ref="B5:E5"/>
    <mergeCell ref="B6:E6"/>
  </mergeCells>
  <phoneticPr fontId="0" type="noConversion"/>
  <pageMargins left="0.6692913385826772" right="0.42" top="0.74803149606299213" bottom="0.43307086614173229" header="0.32" footer="0.27559055118110237"/>
  <pageSetup paperSize="9" scale="80" fitToHeight="2" orientation="landscape" r:id="rId1"/>
  <headerFooter>
    <oddHeader>&amp;R&amp;G</oddHeader>
    <oddFooter>&amp;R&amp;"Arial,Fett"&amp;9 311.045.QCL / V 5.0 / &amp;"Arial,Standard"&amp;8Gültig ab: 01.02.2016 / Seite &amp;P (&amp;N)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sblenden">
                <anchor moveWithCells="1" sizeWithCells="1">
                  <from>
                    <xdr:col>1</xdr:col>
                    <xdr:colOff>4552950</xdr:colOff>
                    <xdr:row>2</xdr:row>
                    <xdr:rowOff>0</xdr:rowOff>
                  </from>
                  <to>
                    <xdr:col>1</xdr:col>
                    <xdr:colOff>5619750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3</vt:i4>
      </vt:variant>
    </vt:vector>
  </HeadingPairs>
  <TitlesOfParts>
    <vt:vector size="5" baseType="lpstr">
      <vt:lpstr>Startcheck</vt:lpstr>
      <vt:lpstr>Pendenzen</vt:lpstr>
      <vt:lpstr>Pendenzen!Druckbereich</vt:lpstr>
      <vt:lpstr>Startcheck!Druckbereich</vt:lpstr>
      <vt:lpstr>Startcheck!Drucktitel</vt:lpstr>
    </vt:vector>
  </TitlesOfParts>
  <Company>Aegerter &amp; Bosshardt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Beatrice Gerber</dc:creator>
  <cp:lastModifiedBy>Stöhr Jessica</cp:lastModifiedBy>
  <cp:lastPrinted>2016-01-28T07:55:45Z</cp:lastPrinted>
  <dcterms:created xsi:type="dcterms:W3CDTF">2007-04-18T07:25:42Z</dcterms:created>
  <dcterms:modified xsi:type="dcterms:W3CDTF">2018-07-11T11:15:24Z</dcterms:modified>
</cp:coreProperties>
</file>