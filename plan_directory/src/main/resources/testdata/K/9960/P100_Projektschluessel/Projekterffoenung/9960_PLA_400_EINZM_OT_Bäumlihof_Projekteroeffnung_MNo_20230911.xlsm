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K:\9000\9960_FL_N02_EINZM_OT_Brücke_Bäumlihof\P100_Projektschluessel\Projekterffoenung\"/>
    </mc:Choice>
  </mc:AlternateContent>
  <bookViews>
    <workbookView xWindow="15" yWindow="0" windowWidth="12705" windowHeight="10725"/>
  </bookViews>
  <sheets>
    <sheet name=".400" sheetId="1" r:id="rId1"/>
    <sheet name="Gebiet" sheetId="3" state="hidden" r:id="rId2"/>
    <sheet name="Bereich" sheetId="2" state="hidden" r:id="rId3"/>
    <sheet name="Branche" sheetId="4" state="hidden" r:id="rId4"/>
    <sheet name="Organisation" sheetId="5" state="hidden" r:id="rId5"/>
    <sheet name="NK-Tarifkat" sheetId="6" state="hidden" r:id="rId6"/>
    <sheet name="RG-Ausloesung" sheetId="7" state="hidden" r:id="rId7"/>
  </sheets>
  <definedNames>
    <definedName name="Bereich">Bereich!$A$1:$A$95</definedName>
    <definedName name="Branche">Branche!$A$1:$A$182</definedName>
    <definedName name="_xlnm.Print_Area" localSheetId="0">'.400'!$A$1:$F$77</definedName>
    <definedName name="Gebiet">Gebiet!$A$1:$A$22</definedName>
    <definedName name="NKTarifkat">'NK-Tarifkat'!$A$1:$A$10</definedName>
    <definedName name="Organisationseinheit" localSheetId="5">'NK-Tarifkat'!$A$1:$A$10</definedName>
    <definedName name="Organisationseinheit">Organisation!$A$1:$A$9</definedName>
    <definedName name="RG_Ausloesung">'RG-Ausloesung'!$A$1:$A$6</definedName>
  </definedNames>
  <calcPr calcId="162913"/>
</workbook>
</file>

<file path=xl/calcChain.xml><?xml version="1.0" encoding="utf-8"?>
<calcChain xmlns="http://schemas.openxmlformats.org/spreadsheetml/2006/main">
  <c r="A79" i="1" l="1"/>
  <c r="C3" i="1" l="1"/>
  <c r="A81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<sst xmlns="http://schemas.openxmlformats.org/spreadsheetml/2006/main" count="777" uniqueCount="663">
  <si>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</si>
  <si>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</si>
  <si>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</si>
  <si>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</si>
  <si>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</si>
  <si>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</si>
  <si>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</si>
  <si>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</si>
  <si>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</si>
  <si>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</si>
  <si>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</si>
  <si>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</si>
  <si>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</si>
  <si>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</si>
  <si>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</si>
  <si>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</si>
  <si>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</si>
  <si>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</si>
  <si>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</si>
  <si>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</si>
  <si>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</si>
  <si>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</si>
  <si>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</si>
  <si>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</si>
  <si>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</si>
  <si>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</si>
  <si>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</si>
  <si>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</si>
  <si>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</si>
  <si>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</si>
  <si>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</si>
  <si>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</si>
  <si>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</si>
  <si>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</si>
  <si>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</si>
  <si>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</si>
  <si>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</si>
  <si>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</si>
  <si>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</si>
  <si>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</si>
  <si>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</si>
  <si>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</si>
  <si>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</si>
  <si>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</si>
  <si>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</si>
  <si>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</si>
  <si>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</si>
  <si>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</si>
  <si>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</si>
  <si>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</si>
  <si>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</si>
  <si>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</si>
  <si>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</si>
  <si>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</si>
  <si>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</si>
  <si>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</si>
  <si>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</si>
  <si>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</si>
  <si>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</si>
  <si>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</si>
  <si>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</si>
  <si>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</si>
  <si>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</si>
  <si>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</si>
  <si>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</si>
  <si>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</si>
  <si>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</si>
  <si>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</si>
  <si>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</si>
  <si>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</si>
  <si>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</si>
  <si>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</si>
  <si>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</si>
  <si>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</si>
  <si>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</si>
  <si>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</si>
  <si>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</si>
  <si>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</si>
  <si>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</si>
  <si>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</si>
  <si>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</si>
  <si>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</si>
  <si>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</si>
  <si>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</si>
  <si>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</si>
  <si>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</si>
  <si>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</si>
  <si>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</si>
  <si>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</si>
  <si>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</si>
  <si>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</si>
  <si>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</si>
  <si>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</si>
  <si>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</si>
  <si>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</si>
  <si>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</si>
  <si>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</si>
  <si>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</si>
  <si>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</si>
  <si>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</si>
  <si>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</si>
  <si>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</si>
  <si>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</si>
  <si>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</si>
  <si>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</si>
  <si>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</si>
  <si>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</si>
  <si>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</si>
  <si>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</si>
  <si>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</si>
  <si>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</si>
  <si>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</si>
  <si>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</si>
  <si>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</si>
  <si>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</si>
  <si>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</si>
  <si>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</si>
  <si>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</si>
  <si>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</si>
  <si>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</si>
  <si>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</si>
  <si>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</si>
  <si>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</si>
  <si>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</si>
  <si>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</si>
  <si>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</si>
  <si>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</si>
  <si>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</si>
  <si>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</si>
  <si>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</si>
  <si>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</si>
  <si>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</si>
  <si>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</si>
  <si>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</si>
  <si>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</si>
  <si>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</si>
  <si>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</si>
  <si>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</si>
  <si>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</si>
  <si>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</si>
  <si>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</si>
  <si>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</si>
  <si>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</si>
  <si>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</si>
  <si>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</si>
  <si>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</si>
  <si>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</si>
  <si>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</si>
  <si>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</si>
  <si>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</si>
  <si>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</si>
  <si>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</si>
  <si>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</si>
  <si>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</si>
  <si>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</si>
  <si>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</si>
  <si>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</si>
  <si>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</si>
  <si>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</si>
  <si>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</si>
  <si>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</si>
  <si>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</si>
  <si>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</si>
  <si>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</si>
  <si>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</si>
  <si>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</si>
  <si>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</si>
  <si>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</si>
  <si>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</si>
  <si>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</si>
  <si>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</si>
  <si>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</si>
  <si>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</si>
  <si>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</si>
  <si>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</si>
  <si>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</si>
  <si>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</si>
  <si>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</si>
  <si>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</si>
  <si>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</si>
  <si>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</si>
  <si>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</si>
  <si>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</si>
  <si>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</si>
  <si>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</si>
  <si>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</si>
  <si>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</si>
  <si>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</si>
  <si>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</si>
  <si>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</si>
  <si>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</si>
  <si>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</si>
  <si>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</si>
  <si>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</si>
  <si>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</si>
  <si>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</si>
  <si>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</si>
  <si>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</si>
  <si>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</si>
  <si>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</si>
  <si>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</si>
  <si>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</si>
  <si>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</si>
  <si>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</si>
  <si>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</si>
  <si>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</si>
  <si>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</si>
  <si>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</si>
  <si>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</si>
  <si>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</si>
  <si>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</si>
  <si>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</si>
  <si>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</si>
  <si>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</si>
  <si>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</si>
  <si>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</si>
  <si>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</si>
  <si>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</si>
  <si>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</si>
  <si>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</si>
  <si>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</si>
  <si>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</si>
  <si>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</si>
  <si>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</si>
  <si>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</si>
  <si>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</si>
  <si>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</si>
  <si>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</si>
  <si>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</si>
  <si>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</si>
  <si>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</si>
  <si>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</si>
  <si>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</si>
  <si>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</si>
  <si>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</si>
  <si>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</si>
  <si>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</si>
  <si>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</si>
  <si>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</si>
  <si>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</si>
  <si>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</si>
  <si>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</si>
  <si>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</si>
  <si>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</si>
  <si>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</si>
  <si>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</si>
  <si>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</si>
  <si>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</si>
  <si>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</si>
  <si>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</si>
  <si>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</si>
  <si>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</si>
  <si>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</si>
  <si>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</si>
  <si>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</si>
  <si>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</si>
  <si>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</si>
  <si>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</si>
  <si>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</si>
  <si>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</si>
  <si>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</si>
  <si>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</si>
  <si>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</si>
  <si>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</si>
  <si>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</si>
  <si>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</si>
  <si>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</si>
  <si>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</si>
  <si>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</si>
  <si>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</si>
  <si>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</si>
  <si>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</si>
  <si>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</si>
  <si>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</si>
  <si>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</si>
  <si>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</si>
  <si>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</si>
  <si>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</si>
  <si>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</si>
  <si>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</si>
  <si>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</si>
  <si>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</si>
  <si>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</si>
  <si>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</si>
  <si>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</si>
  <si>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</si>
  <si>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</si>
  <si>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</si>
  <si>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</si>
  <si>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</si>
  <si>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</si>
  <si>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</si>
  <si>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</si>
  <si>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</si>
  <si>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</si>
  <si>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</si>
  <si>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</si>
  <si>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</si>
  <si>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</si>
  <si>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</si>
  <si>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</si>
  <si>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</si>
  <si>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</si>
  <si>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</si>
  <si>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</si>
  <si>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</si>
  <si>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</si>
  <si>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</si>
  <si>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</si>
  <si>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</si>
  <si>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</si>
  <si>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</si>
  <si>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</si>
  <si>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</si>
  <si>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</si>
  <si>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</si>
  <si>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</si>
  <si>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</si>
  <si>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</si>
  <si>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</si>
  <si>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</si>
  <si>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</si>
  <si>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</si>
  <si>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</si>
  <si>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</si>
  <si>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</si>
  <si>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</si>
  <si>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</si>
  <si>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</si>
  <si>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</si>
  <si>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</si>
  <si>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</si>
  <si>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</si>
  <si>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</si>
  <si>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</si>
  <si>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</si>
  <si>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</si>
  <si>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</si>
  <si>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</si>
  <si>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</si>
  <si>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</si>
  <si>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</si>
  <si>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</si>
  <si>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</si>
  <si>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</si>
  <si>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</si>
  <si>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</si>
  <si>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</si>
  <si>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</si>
  <si>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</si>
  <si>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</si>
  <si>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</si>
  <si>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</si>
  <si>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</si>
  <si>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</si>
  <si>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</si>
  <si>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</si>
  <si>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</si>
  <si>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</si>
  <si>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</si>
  <si>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</si>
  <si>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</si>
  <si>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</si>
  <si>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</si>
  <si>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</si>
  <si>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</si>
  <si>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</si>
  <si>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</si>
  <si>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</si>
  <si>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</si>
  <si>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</si>
  <si>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</si>
  <si>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</si>
  <si>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</si>
  <si>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</si>
  <si>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</si>
  <si>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</si>
  <si>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</si>
  <si>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</si>
  <si>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</si>
  <si>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</si>
  <si>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</si>
  <si>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</si>
  <si>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</si>
  <si>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</si>
  <si>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</si>
  <si>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</si>
  <si>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</si>
  <si>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</si>
  <si>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</si>
  <si>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</si>
  <si>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</si>
  <si>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</si>
  <si>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</si>
  <si>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</si>
  <si>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</si>
  <si>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</si>
  <si>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</si>
  <si>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</si>
  <si>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</si>
  <si>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</si>
  <si>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</si>
  <si>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</si>
  <si>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</si>
  <si>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</si>
  <si>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</si>
  <si>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</si>
  <si>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</si>
  <si>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</si>
  <si>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</si>
  <si>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</si>
  <si>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</si>
  <si>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</si>
  <si>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</si>
  <si>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</si>
  <si>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</si>
  <si>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</si>
  <si>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</si>
  <si>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</si>
  <si>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</si>
  <si>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</si>
  <si>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</si>
  <si>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</si>
  <si>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</si>
  <si>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</si>
  <si>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</si>
  <si>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</si>
  <si>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</si>
  <si>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</si>
  <si>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</si>
  <si>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</si>
  <si>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</si>
  <si>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</si>
  <si>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</si>
  <si>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</si>
  <si>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</si>
  <si>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</si>
  <si>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</si>
  <si>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</si>
  <si>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</si>
  <si>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</si>
  <si>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</si>
  <si>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</si>
  <si>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</si>
  <si>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</si>
  <si>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</si>
  <si>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</si>
  <si>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</si>
  <si>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</si>
  <si>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</si>
  <si>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</si>
  <si>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</si>
  <si>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</si>
  <si>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</si>
  <si>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</si>
  <si>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</si>
  <si>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</si>
  <si>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</si>
  <si>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</si>
  <si>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</si>
  <si>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</si>
  <si>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</si>
  <si>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</si>
  <si>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</si>
  <si>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</si>
  <si>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</si>
  <si>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</si>
  <si>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</si>
  <si>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</si>
  <si>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</si>
  <si>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</si>
  <si>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</si>
  <si>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</si>
  <si>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</si>
  <si>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</si>
  <si>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</si>
  <si>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</si>
  <si>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</si>
  <si>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</si>
  <si>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</si>
  <si>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</si>
  <si>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</si>
  <si>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</si>
  <si>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</si>
  <si>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</si>
  <si>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</si>
  <si>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</si>
  <si>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</si>
  <si>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</si>
  <si>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</si>
  <si>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</si>
  <si>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</si>
  <si>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</si>
  <si>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</si>
  <si>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</si>
  <si>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</si>
  <si>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</si>
  <si>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</si>
  <si>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</si>
  <si>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</si>
  <si>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</si>
  <si>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</si>
  <si>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</si>
  <si>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</si>
  <si>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</si>
  <si>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</si>
  <si>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</si>
  <si>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</si>
  <si>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</si>
  <si>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</si>
  <si>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</si>
  <si>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</si>
  <si>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</si>
  <si>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</si>
  <si>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</si>
  <si>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</si>
  <si>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</si>
  <si>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</si>
  <si>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</si>
  <si>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</si>
  <si>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</si>
  <si>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</si>
  <si>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</si>
  <si>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</si>
  <si>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</si>
  <si>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</si>
  <si>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</si>
  <si>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</si>
  <si>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</si>
  <si>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</si>
  <si>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</si>
  <si>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</si>
  <si>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</si>
  <si>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</si>
  <si>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</si>
  <si>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</si>
  <si>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</si>
  <si>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</si>
  <si>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</si>
  <si>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</si>
  <si>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</si>
  <si>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</si>
  <si>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</si>
  <si>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</si>
  <si>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</si>
  <si>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</si>
  <si>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</si>
  <si>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</si>
  <si>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</si>
  <si>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</si>
  <si>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</si>
  <si>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</si>
  <si>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</si>
  <si>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</si>
  <si>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</si>
  <si>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</si>
  <si>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</si>
  <si>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</si>
  <si>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</si>
  <si>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</si>
  <si>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</si>
  <si>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</si>
  <si>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</si>
  <si>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</si>
  <si>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</si>
  <si>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</si>
  <si>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</si>
  <si>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</si>
  <si>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</si>
  <si>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</si>
  <si>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</si>
  <si>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</si>
  <si>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</si>
  <si>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</si>
  <si>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</si>
  <si>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</si>
  <si>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</si>
  <si>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</si>
  <si>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</si>
  <si>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</si>
  <si>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</si>
  <si>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</si>
  <si>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</si>
  <si>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</si>
  <si>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Bauherr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</si>
  <si>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</si>
  <si>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</si>
  <si>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</si>
  <si>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</si>
  <si>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</si>
  <si>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</si>
  <si>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</si>
  <si>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</si>
  <si>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</si>
  <si>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</si>
  <si>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</si>
  <si>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</si>
  <si>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</si>
  <si>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</si>
  <si>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</si>
  <si>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</si>
  <si>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</si>
  <si>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</si>
  <si>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</si>
  <si>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</si>
  <si>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</si>
  <si>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</si>
  <si>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</si>
  <si>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</si>
  <si>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</si>
  <si>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</si>
  <si>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</si>
  <si>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</si>
  <si>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</si>
  <si>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</si>
  <si>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</si>
  <si>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</si>
  <si>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</si>
  <si>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</si>
  <si>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</si>
  <si>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</si>
  <si>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</si>
  <si>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</si>
  <si>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</si>
  <si>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</si>
  <si>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</si>
  <si>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</si>
  <si>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</si>
  <si>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Versandadresse = Bauherr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</si>
  <si>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</si>
  <si>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</si>
  <si>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</si>
  <si>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</si>
  <si>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</si>
  <si>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</si>
  <si>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</si>
  <si>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</si>
  <si>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</si>
  <si>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</si>
  <si>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</si>
  <si>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</si>
  <si>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</si>
  <si>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</si>
  <si>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</si>
  <si>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</si>
  <si>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</si>
  <si>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</si>
  <si>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A.B.BH. Bautenerhalt und Geomatik</t>
  </si>
  <si>
    <t>ASTRA F3</t>
  </si>
  <si>
    <t>FL</t>
  </si>
  <si>
    <t>Bundesamt für Strassen ASTRA</t>
  </si>
  <si>
    <t>Jürg Merian</t>
  </si>
  <si>
    <t>Brühlstrasse 3</t>
  </si>
  <si>
    <t>4800 Zofingen</t>
  </si>
  <si>
    <t>via BHU J+S</t>
  </si>
  <si>
    <t>4.2. Brücken</t>
  </si>
  <si>
    <t>CH.01.Kanton BS</t>
  </si>
  <si>
    <t>1.1. ASTRA</t>
  </si>
  <si>
    <t>gemäss Honorarofferte resp. Vertrag (Beilage)</t>
  </si>
  <si>
    <t>EINZM_OT_Brücken_Bäumlihof</t>
  </si>
  <si>
    <t>180002/000007</t>
  </si>
  <si>
    <t>Phase 51, Unterlagen für die Ausführung</t>
  </si>
  <si>
    <t>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</si>
</sst>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Font="1"/>
    <xf numFmtId="1" fontId="0" fillId="0" borderId="0" xfId="1" applyNumberFormat="1" applyFont="1"/>
    <xf numFmtId="0" fontId="0" fillId="0" borderId="0" xfId="1" applyFont="1"/>
    <xf numFmtId="0" fontId="0" fillId="0" borderId="0" xfId="0"/>
    <xf numFmtId="0" fontId="4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3" fillId="0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0" fontId="3" fillId="0" borderId="0" xfId="0" applyFont="1" applyFill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3" fontId="0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Font="1" applyBorder="1" applyProtection="1"/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Border="1" applyAlignment="1" applyProtection="1">
      <alignment vertical="center"/>
    </xf>
    <xf numFmtId="0" fontId="0" fillId="0" borderId="3" xfId="0" applyFont="1" applyBorder="1" applyAlignment="1" applyProtection="1"/>
    <xf numFmtId="0" fontId="7" fillId="0" borderId="0" xfId="0" applyFo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Border="1" applyProtection="1"/>
    <xf numFmtId="0" fontId="0" fillId="0" borderId="0" xfId="0" applyFont="1" applyProtection="1">
      <protection locked="0"/>
    </xf>
    <xf numFmtId="0" fontId="0" fillId="0" borderId="0" xfId="0" applyFont="1" applyProtection="1"/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Alignment="1" applyProtection="1">
      <alignment vertical="top"/>
    </xf>
    <xf numFmtId="16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protection locked="0"/>
    </xf>
    <xf numFmtId="0" fontId="0" fillId="0" borderId="0" xfId="0" quotePrefix="1" applyFont="1" applyAlignment="1" applyProtection="1">
      <alignment horizontal="left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0" borderId="0" xfId="0" applyFont="1" applyBorder="1" applyAlignment="1" applyProtection="1">
      <alignment horizontal="left" indent="2"/>
    </xf>
    <xf numFmtId="0" fontId="0" fillId="0" borderId="0" xfId="0" applyAlignment="1">
      <alignment horizontal="center"/>
    </xf>
    <xf numFmtId="0" fontId="0" fillId="6" borderId="0" xfId="0" applyFont="1" applyFill="1" applyProtection="1"/>
    <xf numFmtId="0" fontId="0" fillId="6" borderId="0" xfId="0" applyFont="1" applyFill="1" applyBorder="1" applyProtection="1"/>
    <xf numFmtId="0" fontId="10" fillId="6" borderId="0" xfId="0" applyFont="1" applyFill="1" applyProtection="1"/>
    <xf numFmtId="0" fontId="10" fillId="6" borderId="0" xfId="0" quotePrefix="1" applyFont="1" applyFill="1" applyProtection="1">
      <protection locked="0"/>
    </xf>
    <xf numFmtId="10" fontId="0" fillId="2" borderId="2" xfId="0" applyNumberFormat="1" applyFon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0" borderId="0" xfId="0" applyFont="1" applyAlignment="1" applyProtection="1">
      <alignment wrapText="1"/>
    </xf>
    <xf numFmtId="0" fontId="0" fillId="2" borderId="2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1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/>
      <protection locked="0"/>
    </xf>
    <xf numFmtId="0" fontId="3" fillId="0" borderId="0" xfId="0" quotePrefix="1" applyFont="1" applyAlignment="1" applyProtection="1">
      <alignment horizontal="right" vertical="center" wrapText="1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</cellXfs>
  <cellStyles count="2">
    <cellStyle name="Standard" xfId="0" builtinId="0"/>
    <cellStyle name="Standard 2" xfId="1"/>
  </cellStyles>
  <dxfs count="4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G$45" lockText="1" noThreeD="1"/>
</file>

<file path=xl/ctrlProps/ctrlProp2.xml><?xml version="1.0" encoding="utf-8"?>
<formControlPr xmlns="http://schemas.microsoft.com/office/spreadsheetml/2009/9/main" objectType="CheckBox" fmlaLink="$G$47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checked="Checked" firstButton="1" fmlaLink="G6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firstButton="1" fmlaLink="G53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fmlaLink="$G$20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45</xdr:row>
          <xdr:rowOff>0</xdr:rowOff>
        </xdr:from>
        <xdr:to>
          <xdr:col>2</xdr:col>
          <xdr:colOff>333375</xdr:colOff>
          <xdr:row>48</xdr:row>
          <xdr:rowOff>38100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19050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9525</xdr:rowOff>
        </xdr:from>
        <xdr:to>
          <xdr:col>5</xdr:col>
          <xdr:colOff>981075</xdr:colOff>
          <xdr:row>63</xdr:row>
          <xdr:rowOff>28575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60</xdr:row>
          <xdr:rowOff>66675</xdr:rowOff>
        </xdr:from>
        <xdr:to>
          <xdr:col>4</xdr:col>
          <xdr:colOff>123825</xdr:colOff>
          <xdr:row>62</xdr:row>
          <xdr:rowOff>9525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66675</xdr:rowOff>
        </xdr:from>
        <xdr:to>
          <xdr:col>5</xdr:col>
          <xdr:colOff>466725</xdr:colOff>
          <xdr:row>62</xdr:row>
          <xdr:rowOff>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28575</xdr:rowOff>
        </xdr:from>
        <xdr:to>
          <xdr:col>2</xdr:col>
          <xdr:colOff>542925</xdr:colOff>
          <xdr:row>53</xdr:row>
          <xdr:rowOff>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9525</xdr:rowOff>
        </xdr:from>
        <xdr:to>
          <xdr:col>3</xdr:col>
          <xdr:colOff>28575</xdr:colOff>
          <xdr:row>54</xdr:row>
          <xdr:rowOff>142875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51</xdr:row>
          <xdr:rowOff>19050</xdr:rowOff>
        </xdr:from>
        <xdr:to>
          <xdr:col>4</xdr:col>
          <xdr:colOff>114300</xdr:colOff>
          <xdr:row>56</xdr:row>
          <xdr:rowOff>9525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60</xdr:row>
          <xdr:rowOff>28575</xdr:rowOff>
        </xdr:from>
        <xdr:to>
          <xdr:col>5</xdr:col>
          <xdr:colOff>1552575</xdr:colOff>
          <xdr:row>62</xdr:row>
          <xdr:rowOff>28575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48</xdr:row>
          <xdr:rowOff>9525</xdr:rowOff>
        </xdr:from>
        <xdr:to>
          <xdr:col>2</xdr:col>
          <xdr:colOff>361950</xdr:colOff>
          <xdr:row>48</xdr:row>
          <xdr:rowOff>190500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50</xdr:row>
          <xdr:rowOff>0</xdr:rowOff>
        </xdr:from>
        <xdr:to>
          <xdr:col>2</xdr:col>
          <xdr:colOff>352425</xdr:colOff>
          <xdr:row>51</xdr:row>
          <xdr:rowOff>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67</xdr:row>
          <xdr:rowOff>0</xdr:rowOff>
        </xdr:from>
        <xdr:to>
          <xdr:col>2</xdr:col>
          <xdr:colOff>571500</xdr:colOff>
          <xdr:row>68</xdr:row>
          <xdr:rowOff>28575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G180"/>
  <sheetViews>
    <sheetView showGridLines="0" tabSelected="1" zoomScale="115" zoomScaleNormal="115" workbookViewId="0">
      <selection activeCell="E12" sqref="E12"/>
    </sheetView>
  </sheetViews>
  <sheetFormatPr baseColWidth="10" defaultColWidth="0" defaultRowHeight="12.75" zeroHeight="1" x14ac:dyDescent="0.2"/>
  <cols>
    <col min="1" max="1" width="19.5703125" style="10" customWidth="1"/>
    <col min="2" max="2" width="18" style="10" customWidth="1"/>
    <col min="3" max="3" width="11.42578125" style="18" customWidth="1"/>
    <col min="4" max="4" width="1.7109375" style="42" customWidth="1"/>
    <col min="5" max="5" width="11.42578125" style="42" customWidth="1"/>
    <col min="6" max="6" width="25.28515625" style="10" customWidth="1"/>
    <col min="7" max="7" width="11.42578125" style="20" hidden="1" customWidth="1"/>
    <col min="8" max="16384" width="11.42578125" style="10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13" customFormat="1" ht="15" customHeight="1" x14ac:dyDescent="0.25">
      <c r="A2" s="11" t="s">
        <v>638</v>
      </c>
      <c r="B2" s="11"/>
      <c r="C2" s="12"/>
      <c r="D2" s="40"/>
      <c r="E2" s="40"/>
      <c r="F2" s="11"/>
      <c r="G2" s="27"/>
    </row>
    <row r="3" spans="1:7" s="15" customFormat="1" ht="32.25" customHeight="1" x14ac:dyDescent="0.2">
      <c r="A3" s="14" t="s">
        <v>607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BS.N.09960.ASTRA F3, EINZM_OT_Brücken_Bäumlihof, Basel</v>
      </c>
      <c r="D3" s="67"/>
      <c r="E3" s="67"/>
      <c r="F3" s="67"/>
      <c r="G3" s="28"/>
    </row>
    <row r="4" spans="1:7" ht="12.75" customHeight="1" x14ac:dyDescent="0.2">
      <c r="A4" s="16" t="s">
        <v>604</v>
      </c>
      <c r="B4" s="16"/>
      <c r="C4" s="68">
        <v>9960</v>
      </c>
      <c r="D4" s="68"/>
      <c r="E4" s="68"/>
      <c r="F4" s="69"/>
    </row>
    <row r="5" spans="1:7" s="15" customFormat="1" ht="12.75" customHeight="1" x14ac:dyDescent="0.2">
      <c r="A5" s="10" t="s">
        <v>619</v>
      </c>
      <c r="B5" s="10"/>
      <c r="C5" s="65" t="s">
        <v>647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648</v>
      </c>
      <c r="D6" s="65"/>
      <c r="E6" s="65"/>
      <c r="F6" s="65"/>
    </row>
    <row r="7" spans="1:7" s="15" customFormat="1" ht="12.75" customHeight="1" x14ac:dyDescent="0.2">
      <c r="A7" s="16" t="s">
        <v>633</v>
      </c>
      <c r="B7" s="31" t="s">
        <v>627</v>
      </c>
      <c r="C7" s="62" t="s">
        <v>659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303</v>
      </c>
      <c r="D8" s="62"/>
      <c r="E8" s="62"/>
      <c r="F8" s="62"/>
    </row>
    <row r="9" spans="1:7" s="32" customFormat="1" ht="3.95" customHeight="1" x14ac:dyDescent="0.2">
      <c r="C9" s="33"/>
      <c r="D9" s="42"/>
      <c r="E9" s="42"/>
      <c r="G9" s="34"/>
    </row>
    <row r="10" spans="1:7" ht="12.75" customHeight="1" x14ac:dyDescent="0.2">
      <c r="A10" s="10" t="s">
        <v>640</v>
      </c>
      <c r="C10" s="48">
        <v>45170</v>
      </c>
      <c r="D10" s="54" t="s">
        <v>643</v>
      </c>
      <c r="E10" s="48">
        <v>46022</v>
      </c>
      <c r="F10" s="38"/>
    </row>
    <row r="11" spans="1:7" s="43" customFormat="1" ht="3.95" customHeight="1" x14ac:dyDescent="0.2">
      <c r="D11"/>
      <c r="G11" s="46"/>
    </row>
    <row r="12" spans="1:7" ht="12.75" customHeight="1" x14ac:dyDescent="0.2">
      <c r="A12" s="10" t="s">
        <v>641</v>
      </c>
      <c r="C12" s="49" t="s">
        <v>649</v>
      </c>
      <c r="D12" s="54" t="s">
        <v>643</v>
      </c>
      <c r="E12" s="49" t="s">
        <v>662</v>
      </c>
    </row>
    <row r="13" spans="1:7" ht="3.95" customHeight="1" x14ac:dyDescent="0.2"/>
    <row r="14" spans="1:7" ht="12.75" customHeight="1" x14ac:dyDescent="0.2">
      <c r="A14" s="10" t="s">
        <v>584</v>
      </c>
      <c r="B14" s="10" t="s">
        <v>594</v>
      </c>
      <c r="C14" s="62" t="s">
        <v>650</v>
      </c>
      <c r="D14" s="62"/>
      <c r="E14" s="62"/>
      <c r="F14" s="62"/>
    </row>
    <row r="15" spans="1:7" ht="12.75" customHeight="1" x14ac:dyDescent="0.2">
      <c r="B15" s="10" t="s">
        <v>585</v>
      </c>
      <c r="C15" s="62" t="s">
        <v>651</v>
      </c>
      <c r="D15" s="62"/>
      <c r="E15" s="62"/>
      <c r="F15" s="62"/>
    </row>
    <row r="16" spans="1:7" ht="12.75" customHeight="1" x14ac:dyDescent="0.2">
      <c r="B16" s="10" t="s">
        <v>4</v>
      </c>
      <c r="C16" s="62" t="s">
        <v>652</v>
      </c>
      <c r="D16" s="62"/>
      <c r="E16" s="62"/>
      <c r="F16" s="62"/>
    </row>
    <row r="17" spans="1:7" ht="12.75" customHeight="1" x14ac:dyDescent="0.2">
      <c r="B17" s="10" t="s">
        <v>5</v>
      </c>
      <c r="C17" s="62"/>
      <c r="D17" s="62"/>
      <c r="E17" s="62"/>
      <c r="F17" s="62"/>
    </row>
    <row r="18" spans="1:7" ht="12.75" customHeight="1" x14ac:dyDescent="0.2">
      <c r="B18" s="10" t="s">
        <v>6</v>
      </c>
      <c r="C18" s="62" t="s">
        <v>653</v>
      </c>
      <c r="D18" s="62"/>
      <c r="E18" s="62"/>
      <c r="F18" s="62"/>
    </row>
    <row r="19" spans="1:7" s="19" customFormat="1" ht="3.95" customHeight="1" x14ac:dyDescent="0.2">
      <c r="D19" s="43"/>
      <c r="E19" s="43"/>
      <c r="G19" s="29"/>
    </row>
    <row r="20" spans="1:7" x14ac:dyDescent="0.2">
      <c r="A20" s="10" t="s">
        <v>628</v>
      </c>
      <c r="G20" s="20" t="b">
        <v>0</v>
      </c>
    </row>
    <row r="21" spans="1:7" ht="12.75" customHeight="1" x14ac:dyDescent="0.25">
      <c r="A21" s="10" t="s">
        <v>621</v>
      </c>
      <c r="B21" s="10" t="s">
        <v>594</v>
      </c>
      <c r="C21" s="62" t="s">
        <v>654</v>
      </c>
      <c r="D21" s="62"/>
      <c r="E21" s="62"/>
      <c r="F21" s="62"/>
    </row>
    <row r="22" spans="1:7" ht="12.75" customHeight="1" x14ac:dyDescent="0.25">
      <c r="B22" s="10" t="s">
        <v>629</v>
      </c>
      <c r="C22" s="62"/>
      <c r="D22" s="62"/>
      <c r="E22" s="62"/>
      <c r="F22" s="62"/>
    </row>
    <row r="23" spans="1:7" ht="12.75" customHeight="1" x14ac:dyDescent="0.25">
      <c r="B23" s="10" t="s">
        <v>4</v>
      </c>
      <c r="C23" s="62"/>
      <c r="D23" s="62"/>
      <c r="E23" s="62"/>
      <c r="F23" s="62"/>
    </row>
    <row r="24" spans="1:7" ht="12.75" customHeight="1" x14ac:dyDescent="0.25">
      <c r="B24" s="10" t="s">
        <v>5</v>
      </c>
      <c r="C24" s="62"/>
      <c r="D24" s="62"/>
      <c r="E24" s="62"/>
      <c r="F24" s="62"/>
    </row>
    <row r="25" spans="1:7" ht="12.75" customHeight="1" x14ac:dyDescent="0.25">
      <c r="B25" s="10" t="s">
        <v>6</v>
      </c>
      <c r="C25" s="62"/>
      <c r="D25" s="62"/>
      <c r="E25" s="62"/>
      <c r="F25" s="62"/>
    </row>
    <row r="26" spans="1:7" s="38" customFormat="1" ht="3.95" customHeight="1" x14ac:dyDescent="0.25">
      <c r="C26" s="42"/>
      <c r="D26" s="42"/>
      <c r="E26" s="42"/>
      <c r="G26" s="44"/>
    </row>
    <row r="27" spans="1:7" s="41" customFormat="1" ht="15" customHeight="1" x14ac:dyDescent="0.3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5">
      <c r="G28" s="46"/>
    </row>
    <row r="29" spans="1:7" ht="12.75" customHeight="1" x14ac:dyDescent="0.2">
      <c r="A29" s="17" t="s">
        <v>608</v>
      </c>
      <c r="B29" s="17"/>
      <c r="C29" s="60">
        <v>400</v>
      </c>
      <c r="D29"/>
      <c r="E29" s="64" t="s">
        <v>661</v>
      </c>
      <c r="F29" s="64"/>
    </row>
    <row r="30" spans="1:7" s="19" customFormat="1" ht="3.95" customHeight="1" x14ac:dyDescent="0.25">
      <c r="D30" s="43"/>
      <c r="E30" s="43"/>
      <c r="G30" s="29"/>
    </row>
    <row r="31" spans="1:7" ht="12.75" customHeight="1" x14ac:dyDescent="0.2">
      <c r="A31" s="10" t="s">
        <v>620</v>
      </c>
      <c r="C31" s="62" t="s">
        <v>655</v>
      </c>
      <c r="D31" s="62"/>
      <c r="E31" s="62"/>
      <c r="F31" s="62"/>
    </row>
    <row r="32" spans="1:7" s="36" customFormat="1" ht="3.95" customHeight="1" x14ac:dyDescent="0.25">
      <c r="D32" s="43"/>
      <c r="E32" s="43"/>
      <c r="G32" s="37"/>
    </row>
    <row r="33" spans="1:7" ht="12.75" customHeight="1" x14ac:dyDescent="0.25">
      <c r="A33" s="10" t="s">
        <v>10</v>
      </c>
      <c r="C33" s="62" t="s">
        <v>656</v>
      </c>
      <c r="D33" s="62"/>
      <c r="E33" s="62"/>
      <c r="F33" s="62"/>
    </row>
    <row r="34" spans="1:7" s="19" customFormat="1" ht="3.95" customHeight="1" x14ac:dyDescent="0.25">
      <c r="D34" s="43"/>
      <c r="E34" s="43"/>
      <c r="G34" s="29"/>
    </row>
    <row r="35" spans="1:7" ht="12.75" customHeight="1" x14ac:dyDescent="0.25">
      <c r="A35" s="10" t="s">
        <v>11</v>
      </c>
      <c r="C35" s="62" t="s">
        <v>657</v>
      </c>
      <c r="D35" s="62"/>
      <c r="E35" s="62"/>
      <c r="F35" s="62"/>
    </row>
    <row r="36" spans="1:7" ht="3.95" customHeight="1" x14ac:dyDescent="0.25"/>
    <row r="37" spans="1:7" s="19" customFormat="1" ht="12.75" customHeight="1" x14ac:dyDescent="0.25">
      <c r="A37" s="35" t="s">
        <v>642</v>
      </c>
      <c r="B37" s="10"/>
      <c r="C37" s="48">
        <v>43607</v>
      </c>
      <c r="D37" s="54" t="s">
        <v>643</v>
      </c>
      <c r="E37" s="66" t="s">
        <v>660</v>
      </c>
      <c r="F37" s="66"/>
      <c r="G37" s="29"/>
    </row>
    <row r="38" spans="1:7" s="38" customFormat="1" ht="3.95" customHeight="1" x14ac:dyDescent="0.2">
      <c r="C38" s="42"/>
      <c r="D38" s="42"/>
      <c r="E38" s="42"/>
      <c r="G38" s="44"/>
    </row>
    <row r="39" spans="1:7" s="38" customFormat="1" ht="12.75" customHeight="1" x14ac:dyDescent="0.2">
      <c r="A39" s="38" t="s">
        <v>637</v>
      </c>
      <c r="C39" s="62" t="s">
        <v>651</v>
      </c>
      <c r="D39" s="62"/>
      <c r="E39" s="62"/>
      <c r="F39" s="62"/>
      <c r="G39" s="44"/>
    </row>
    <row r="40" spans="1:7" s="38" customFormat="1" ht="3.95" customHeight="1" x14ac:dyDescent="0.25">
      <c r="C40" s="42"/>
      <c r="D40" s="42"/>
      <c r="E40" s="42"/>
      <c r="G40" s="44"/>
    </row>
    <row r="41" spans="1:7" ht="12.75" customHeight="1" x14ac:dyDescent="0.25">
      <c r="A41" s="10" t="s">
        <v>3</v>
      </c>
      <c r="G41" s="20">
        <v>1</v>
      </c>
    </row>
    <row r="42" spans="1:7" s="38" customFormat="1" ht="3.95" customHeight="1" x14ac:dyDescent="0.25">
      <c r="C42" s="42"/>
      <c r="D42" s="42"/>
      <c r="E42" s="42"/>
      <c r="G42" s="44"/>
    </row>
    <row r="43" spans="1:7" ht="12.75" customHeight="1" x14ac:dyDescent="0.25">
      <c r="A43" s="10" t="s">
        <v>632</v>
      </c>
      <c r="F43" s="50"/>
      <c r="G43" s="20" t="b">
        <v>0</v>
      </c>
    </row>
    <row r="44" spans="1:7" s="38" customFormat="1" ht="3.95" customHeight="1" x14ac:dyDescent="0.25">
      <c r="C44" s="42"/>
      <c r="D44" s="42"/>
      <c r="E44" s="42"/>
      <c r="G44" s="44"/>
    </row>
    <row r="45" spans="1:7" ht="12.75" customHeight="1" x14ac:dyDescent="0.2">
      <c r="A45" s="10" t="s">
        <v>0</v>
      </c>
      <c r="C45" s="53" t="s">
        <v>1</v>
      </c>
      <c r="F45" s="46"/>
      <c r="G45" s="20" t="b">
        <v>0</v>
      </c>
    </row>
    <row r="46" spans="1:7" s="38" customFormat="1" ht="3.95" customHeight="1" x14ac:dyDescent="0.2">
      <c r="C46" s="42"/>
      <c r="D46" s="42"/>
      <c r="E46" s="42"/>
      <c r="G46" s="44"/>
    </row>
    <row r="47" spans="1:7" ht="12.75" customHeight="1" x14ac:dyDescent="0.2">
      <c r="A47" s="10" t="s">
        <v>597</v>
      </c>
      <c r="F47" s="50"/>
      <c r="G47" s="20" t="b">
        <v>0</v>
      </c>
    </row>
    <row r="48" spans="1:7" s="38" customFormat="1" ht="3.95" customHeight="1" x14ac:dyDescent="0.2">
      <c r="C48" s="42"/>
      <c r="D48" s="42"/>
      <c r="E48" s="42"/>
      <c r="G48" s="44"/>
    </row>
    <row r="49" spans="1:7" ht="24" customHeight="1" x14ac:dyDescent="0.2">
      <c r="A49" s="61" t="s">
        <v>644</v>
      </c>
      <c r="B49" s="61"/>
      <c r="G49" s="20">
        <v>10</v>
      </c>
    </row>
    <row r="50" spans="1:7" s="38" customFormat="1" ht="3.95" customHeight="1" x14ac:dyDescent="0.2">
      <c r="C50" s="42"/>
      <c r="D50" s="42"/>
      <c r="E50" s="42"/>
      <c r="G50" s="44"/>
    </row>
    <row r="51" spans="1:7" ht="12.75" customHeight="1" x14ac:dyDescent="0.2">
      <c r="A51" s="10" t="s">
        <v>631</v>
      </c>
      <c r="C51" s="10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19" customFormat="1" ht="12.75" customHeight="1" x14ac:dyDescent="0.2">
      <c r="A53" s="10" t="s">
        <v>2</v>
      </c>
      <c r="E53" s="62" t="s">
        <v>613</v>
      </c>
      <c r="F53" s="62"/>
      <c r="G53" s="29">
        <v>1</v>
      </c>
    </row>
    <row r="54" spans="1:7" s="19" customFormat="1" ht="3.95" customHeight="1" x14ac:dyDescent="0.2">
      <c r="D54" s="43"/>
      <c r="E54" s="43"/>
      <c r="G54" s="29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10" t="s">
        <v>596</v>
      </c>
      <c r="C57" s="59"/>
      <c r="D57"/>
      <c r="E57"/>
    </row>
    <row r="58" spans="1:7" s="38" customFormat="1" ht="3.95" customHeight="1" x14ac:dyDescent="0.2">
      <c r="C58" s="42"/>
      <c r="D58" s="42"/>
      <c r="E58" s="42"/>
      <c r="G58" s="44"/>
    </row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s="38" customFormat="1" ht="3.95" customHeight="1" x14ac:dyDescent="0.2">
      <c r="C60" s="42"/>
      <c r="D60" s="42"/>
      <c r="E60" s="42"/>
      <c r="G60" s="44"/>
    </row>
    <row r="61" spans="1:7" s="38" customFormat="1" x14ac:dyDescent="0.2">
      <c r="A61" s="38" t="s">
        <v>15</v>
      </c>
      <c r="G61" s="44">
        <v>1</v>
      </c>
    </row>
    <row r="62" spans="1:7" s="38" customFormat="1" ht="3.95" customHeight="1" x14ac:dyDescent="0.2">
      <c r="C62" s="42"/>
      <c r="D62" s="42"/>
      <c r="E62" s="42"/>
      <c r="G62" s="44"/>
    </row>
    <row r="63" spans="1:7" x14ac:dyDescent="0.2">
      <c r="A63" s="10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10" t="s">
        <v>16</v>
      </c>
      <c r="C65" s="62" t="s">
        <v>658</v>
      </c>
      <c r="D65" s="62"/>
      <c r="E65" s="62"/>
      <c r="F65" s="62"/>
    </row>
    <row r="66" spans="1:7" x14ac:dyDescent="0.2">
      <c r="A66" s="10" t="s">
        <v>17</v>
      </c>
      <c r="C66" s="65" t="s">
        <v>599</v>
      </c>
      <c r="D66" s="65"/>
      <c r="E66" s="65"/>
      <c r="F66" s="65"/>
    </row>
    <row r="67" spans="1:7" s="38" customFormat="1" ht="3.95" customHeight="1" x14ac:dyDescent="0.2">
      <c r="C67" s="42"/>
      <c r="D67" s="42"/>
      <c r="E67" s="42"/>
      <c r="G67" s="44"/>
    </row>
    <row r="68" spans="1:7" ht="12.6" customHeight="1" x14ac:dyDescent="0.2">
      <c r="A68" s="47" t="s">
        <v>639</v>
      </c>
      <c r="C68" s="42"/>
      <c r="E68" s="63"/>
      <c r="F68" s="63"/>
      <c r="G68" s="20">
        <v>1</v>
      </c>
    </row>
    <row r="69" spans="1:7" s="38" customFormat="1" x14ac:dyDescent="0.2">
      <c r="C69" s="42"/>
      <c r="D69" s="42"/>
      <c r="E69" s="42"/>
      <c r="G69" s="44"/>
    </row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s="38" customFormat="1" ht="3.95" customHeight="1" x14ac:dyDescent="0.2">
      <c r="C71" s="42"/>
      <c r="D71" s="42"/>
      <c r="E71" s="42"/>
      <c r="G71" s="44"/>
    </row>
    <row r="72" spans="1:7" x14ac:dyDescent="0.2">
      <c r="A72" s="10" t="s">
        <v>598</v>
      </c>
      <c r="B72" s="10" t="s">
        <v>12</v>
      </c>
      <c r="C72" s="21"/>
      <c r="D72"/>
      <c r="E72" s="10" t="s">
        <v>605</v>
      </c>
    </row>
    <row r="73" spans="1:7" ht="13.9" customHeight="1" x14ac:dyDescent="0.2">
      <c r="B73" s="10" t="s">
        <v>13</v>
      </c>
      <c r="C73" s="21"/>
      <c r="D73"/>
      <c r="E73" s="10" t="s">
        <v>606</v>
      </c>
    </row>
    <row r="74" spans="1:7" x14ac:dyDescent="0.2">
      <c r="B74" s="10" t="s">
        <v>14</v>
      </c>
      <c r="C74" s="21"/>
      <c r="D74"/>
      <c r="E74" s="10" t="s">
        <v>605</v>
      </c>
    </row>
    <row r="75" spans="1:7" s="19" customFormat="1" ht="3.95" customHeight="1" x14ac:dyDescent="0.2">
      <c r="D75" s="43"/>
      <c r="E75" s="43"/>
      <c r="G75" s="29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  <mergeCell ref="A49:B49"/>
    <mergeCell ref="E53:F53"/>
    <mergeCell ref="E68:F68"/>
    <mergeCell ref="C7:F7"/>
    <mergeCell ref="E29:F29"/>
    <mergeCell ref="C16:F16"/>
    <mergeCell ref="C18:F18"/>
    <mergeCell ref="C22:F22"/>
    <mergeCell ref="C21:F21"/>
    <mergeCell ref="C23:F23"/>
    <mergeCell ref="C65:F65"/>
    <mergeCell ref="C66:F66"/>
    <mergeCell ref="C24:F24"/>
    <mergeCell ref="C33:F33"/>
    <mergeCell ref="C31:F31"/>
    <mergeCell ref="C35:F35"/>
  </mergeCells>
  <conditionalFormatting sqref="B21:F25">
    <cfRule type="expression" dxfId="3" priority="8">
      <formula>$G$20=TRUE</formula>
    </cfRule>
  </conditionalFormatting>
  <conditionalFormatting sqref="A21:A22">
    <cfRule type="expression" dxfId="2" priority="4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6:F66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3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1200150</xdr:colOff>
                    <xdr:row>45</xdr:row>
                    <xdr:rowOff>0</xdr:rowOff>
                  </from>
                  <to>
                    <xdr:col>2</xdr:col>
                    <xdr:colOff>333375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19050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9525</xdr:rowOff>
                  </from>
                  <to>
                    <xdr:col>5</xdr:col>
                    <xdr:colOff>981075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1200150</xdr:colOff>
                    <xdr:row>60</xdr:row>
                    <xdr:rowOff>66675</xdr:rowOff>
                  </from>
                  <to>
                    <xdr:col>4</xdr:col>
                    <xdr:colOff>123825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66675</xdr:rowOff>
                  </from>
                  <to>
                    <xdr:col>5</xdr:col>
                    <xdr:colOff>466725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28575</xdr:rowOff>
                  </from>
                  <to>
                    <xdr:col>2</xdr:col>
                    <xdr:colOff>542925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9525</xdr:rowOff>
                  </from>
                  <to>
                    <xdr:col>3</xdr:col>
                    <xdr:colOff>28575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51</xdr:row>
                    <xdr:rowOff>19050</xdr:rowOff>
                  </from>
                  <to>
                    <xdr:col>4</xdr:col>
                    <xdr:colOff>114300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1152525</xdr:colOff>
                    <xdr:row>60</xdr:row>
                    <xdr:rowOff>28575</xdr:rowOff>
                  </from>
                  <to>
                    <xdr:col>5</xdr:col>
                    <xdr:colOff>1552575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1200150</xdr:colOff>
                    <xdr:row>48</xdr:row>
                    <xdr:rowOff>9525</xdr:rowOff>
                  </from>
                  <to>
                    <xdr:col>2</xdr:col>
                    <xdr:colOff>361950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1200150</xdr:colOff>
                    <xdr:row>50</xdr:row>
                    <xdr:rowOff>0</xdr:rowOff>
                  </from>
                  <to>
                    <xdr:col>2</xdr:col>
                    <xdr:colOff>352425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1200150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21"/>
  <sheetViews>
    <sheetView workbookViewId="0">
      <selection activeCell="C4" sqref="C4:D4"/>
    </sheetView>
  </sheetViews>
  <sheetFormatPr baseColWidth="10" defaultRowHeight="12.75" x14ac:dyDescent="0.2"/>
  <cols>
    <col min="1" max="1" width="24.85546875" customWidth="1"/>
    <col min="3" max="3" width="19.7109375" customWidth="1"/>
  </cols>
  <sheetData>
    <row r="1" spans="1:3" x14ac:dyDescent="0.2">
      <c r="A1" t="s">
        <v>595</v>
      </c>
    </row>
    <row r="2" spans="1:3" ht="12.6" x14ac:dyDescent="0.25">
      <c r="A2" t="str">
        <f>B2&amp;C2</f>
        <v>CH.SCHWEIZ</v>
      </c>
      <c r="B2" t="s">
        <v>234</v>
      </c>
      <c r="C2" t="s">
        <v>235</v>
      </c>
    </row>
    <row r="3" spans="1:3" ht="12.6" x14ac:dyDescent="0.25">
      <c r="A3" t="str">
        <f t="shared" ref="A3:A21" si="0">B3&amp;C3</f>
        <v>CH.01.Kanton BS</v>
      </c>
      <c r="B3" t="s">
        <v>236</v>
      </c>
      <c r="C3" t="s">
        <v>237</v>
      </c>
    </row>
    <row r="4" spans="1:3" ht="12.6" x14ac:dyDescent="0.25">
      <c r="A4" t="str">
        <f t="shared" si="0"/>
        <v>CH.02.Kanton BL</v>
      </c>
      <c r="B4" t="s">
        <v>238</v>
      </c>
      <c r="C4" t="s">
        <v>239</v>
      </c>
    </row>
    <row r="5" spans="1:3" ht="12.6" x14ac:dyDescent="0.25">
      <c r="A5" t="str">
        <f t="shared" si="0"/>
        <v>CH.03.Kanton AG</v>
      </c>
      <c r="B5" t="s">
        <v>240</v>
      </c>
      <c r="C5" t="s">
        <v>241</v>
      </c>
    </row>
    <row r="6" spans="1:3" ht="12.6" x14ac:dyDescent="0.25">
      <c r="A6" t="str">
        <f t="shared" si="0"/>
        <v>CH.04.Kanton ZH</v>
      </c>
      <c r="B6" t="s">
        <v>242</v>
      </c>
      <c r="C6" t="s">
        <v>243</v>
      </c>
    </row>
    <row r="7" spans="1:3" ht="12.6" x14ac:dyDescent="0.25">
      <c r="A7" t="str">
        <f t="shared" si="0"/>
        <v>CH.05.Kanton SO</v>
      </c>
      <c r="B7" t="s">
        <v>244</v>
      </c>
      <c r="C7" t="s">
        <v>245</v>
      </c>
    </row>
    <row r="8" spans="1:3" ht="12.6" x14ac:dyDescent="0.25">
      <c r="A8" t="str">
        <f t="shared" si="0"/>
        <v>CH.06.Kanton LU</v>
      </c>
      <c r="B8" t="s">
        <v>246</v>
      </c>
      <c r="C8" t="s">
        <v>247</v>
      </c>
    </row>
    <row r="9" spans="1:3" ht="12.6" x14ac:dyDescent="0.25">
      <c r="A9" t="str">
        <f t="shared" si="0"/>
        <v>CH.07.Kanton BE</v>
      </c>
      <c r="B9" t="s">
        <v>248</v>
      </c>
      <c r="C9" t="s">
        <v>249</v>
      </c>
    </row>
    <row r="10" spans="1:3" ht="12.6" x14ac:dyDescent="0.25">
      <c r="A10" t="str">
        <f t="shared" si="0"/>
        <v>CH.08.Kanton SZ</v>
      </c>
      <c r="B10" t="s">
        <v>250</v>
      </c>
      <c r="C10" t="s">
        <v>251</v>
      </c>
    </row>
    <row r="11" spans="1:3" x14ac:dyDescent="0.2">
      <c r="A11" t="str">
        <f t="shared" si="0"/>
        <v>CH.20.Übrige Kantone</v>
      </c>
      <c r="B11" t="s">
        <v>252</v>
      </c>
      <c r="C11" t="s">
        <v>253</v>
      </c>
    </row>
    <row r="12" spans="1:3" ht="12.6" x14ac:dyDescent="0.25">
      <c r="A12" t="str">
        <f t="shared" si="0"/>
        <v>D.DEUTSCHLAND</v>
      </c>
      <c r="B12" t="s">
        <v>254</v>
      </c>
      <c r="C12" t="s">
        <v>255</v>
      </c>
    </row>
    <row r="13" spans="1:3" x14ac:dyDescent="0.2">
      <c r="A13" t="str">
        <f t="shared" si="0"/>
        <v>D.01.Landkreis Lörrach</v>
      </c>
      <c r="B13" t="s">
        <v>256</v>
      </c>
      <c r="C13" t="s">
        <v>257</v>
      </c>
    </row>
    <row r="14" spans="1:3" ht="12.6" x14ac:dyDescent="0.25">
      <c r="A14" t="str">
        <f t="shared" si="0"/>
        <v>D.02.Landkreis Freiburg</v>
      </c>
      <c r="B14" t="s">
        <v>258</v>
      </c>
      <c r="C14" t="s">
        <v>259</v>
      </c>
    </row>
    <row r="15" spans="1:3" ht="12.6" x14ac:dyDescent="0.25">
      <c r="A15" t="str">
        <f t="shared" si="0"/>
        <v>D.03.Landkreis Waldshut</v>
      </c>
      <c r="B15" t="s">
        <v>260</v>
      </c>
      <c r="C15" t="s">
        <v>261</v>
      </c>
    </row>
    <row r="16" spans="1:3" x14ac:dyDescent="0.2">
      <c r="A16" t="str">
        <f t="shared" si="0"/>
        <v>D.09.Übrige Landkreise</v>
      </c>
      <c r="B16" t="s">
        <v>262</v>
      </c>
      <c r="C16" t="s">
        <v>263</v>
      </c>
    </row>
    <row r="17" spans="1:3" ht="12.6" x14ac:dyDescent="0.25">
      <c r="A17" t="str">
        <f t="shared" si="0"/>
        <v>F.FRANKREICH</v>
      </c>
      <c r="B17" t="s">
        <v>264</v>
      </c>
      <c r="C17" t="s">
        <v>265</v>
      </c>
    </row>
    <row r="18" spans="1:3" ht="12.6" x14ac:dyDescent="0.25">
      <c r="A18" t="str">
        <f t="shared" si="0"/>
        <v>F.01.Dep. Bas Rhin</v>
      </c>
      <c r="B18" t="s">
        <v>266</v>
      </c>
      <c r="C18" t="s">
        <v>267</v>
      </c>
    </row>
    <row r="19" spans="1:3" ht="12.6" x14ac:dyDescent="0.25">
      <c r="A19" t="str">
        <f t="shared" si="0"/>
        <v>F.02.Dep. Haut Rhin</v>
      </c>
      <c r="B19" t="s">
        <v>268</v>
      </c>
      <c r="C19" t="s">
        <v>269</v>
      </c>
    </row>
    <row r="20" spans="1:3" x14ac:dyDescent="0.2">
      <c r="A20" t="str">
        <f t="shared" si="0"/>
        <v>F.09.Übrige Dep.</v>
      </c>
      <c r="B20" t="s">
        <v>270</v>
      </c>
      <c r="C20" t="s">
        <v>271</v>
      </c>
    </row>
    <row r="21" spans="1:3" x14ac:dyDescent="0.2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4"/>
  <sheetViews>
    <sheetView workbookViewId="0">
      <selection activeCell="C4" sqref="C4:D4"/>
    </sheetView>
  </sheetViews>
  <sheetFormatPr baseColWidth="10" defaultRowHeight="12.75" x14ac:dyDescent="0.2"/>
  <cols>
    <col min="1" max="1" width="47.140625" bestFit="1" customWidth="1"/>
    <col min="2" max="2" width="8.7109375" style="1" customWidth="1"/>
    <col min="3" max="3" width="25.140625" bestFit="1" customWidth="1"/>
    <col min="4" max="4" width="43.28515625" bestFit="1" customWidth="1"/>
  </cols>
  <sheetData>
    <row r="1" spans="1:4" x14ac:dyDescent="0.2">
      <c r="A1" t="s">
        <v>595</v>
      </c>
    </row>
    <row r="2" spans="1:4" ht="12.6" x14ac:dyDescent="0.25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ht="12.6" x14ac:dyDescent="0.25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ht="12.6" x14ac:dyDescent="0.25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ht="12.6" x14ac:dyDescent="0.25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ht="12.6" x14ac:dyDescent="0.25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ht="12.6" x14ac:dyDescent="0.25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ht="12.6" x14ac:dyDescent="0.25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ht="12.6" x14ac:dyDescent="0.25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2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2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ht="12.6" x14ac:dyDescent="0.25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2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ht="12.6" x14ac:dyDescent="0.25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ht="12.6" x14ac:dyDescent="0.25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2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ht="12.6" x14ac:dyDescent="0.25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ht="12.6" x14ac:dyDescent="0.25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ht="12.6" x14ac:dyDescent="0.25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ht="12.6" x14ac:dyDescent="0.25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ht="12.6" x14ac:dyDescent="0.25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2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ht="12.6" x14ac:dyDescent="0.25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ht="12.6" x14ac:dyDescent="0.25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2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2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2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2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ht="12.6" x14ac:dyDescent="0.25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ht="12.6" x14ac:dyDescent="0.25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ht="12.6" x14ac:dyDescent="0.25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2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ht="12.6" x14ac:dyDescent="0.25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ht="12.6" x14ac:dyDescent="0.25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2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ht="12.6" x14ac:dyDescent="0.25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2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ht="12.6" x14ac:dyDescent="0.25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2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ht="13.15" x14ac:dyDescent="0.25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2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2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2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2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2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2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2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2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2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2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2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2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2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2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2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2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2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2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2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2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2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2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2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2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2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2">
      <c r="A66" t="str">
        <f t="shared" ref="A66:A94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2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2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2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2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2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2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2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2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2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2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2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2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2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2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2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2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2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2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2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2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2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2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2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2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2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x14ac:dyDescent="0.2">
      <c r="A92" t="str">
        <f t="shared" si="2"/>
        <v>5.8.7. Verwaltung HDI</v>
      </c>
      <c r="B92" s="1" t="s">
        <v>227</v>
      </c>
      <c r="C92" t="s">
        <v>228</v>
      </c>
      <c r="D92" t="s">
        <v>228</v>
      </c>
    </row>
    <row r="93" spans="1:4" x14ac:dyDescent="0.2">
      <c r="A93" t="str">
        <f t="shared" si="2"/>
        <v>5.8.8. Liegenschaftsbuchhaltung PVS UIAG</v>
      </c>
      <c r="B93" s="1" t="s">
        <v>229</v>
      </c>
      <c r="C93" t="s">
        <v>230</v>
      </c>
      <c r="D93" t="s">
        <v>231</v>
      </c>
    </row>
    <row r="94" spans="1:4" x14ac:dyDescent="0.2">
      <c r="A94" t="str">
        <f t="shared" si="2"/>
        <v>5.8.9. Übrige weitere Dienstleistungen</v>
      </c>
      <c r="B94" s="1" t="s">
        <v>232</v>
      </c>
      <c r="C94" t="s">
        <v>67</v>
      </c>
      <c r="D94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81"/>
  <sheetViews>
    <sheetView workbookViewId="0">
      <selection activeCell="C4" sqref="C4:D4"/>
    </sheetView>
  </sheetViews>
  <sheetFormatPr baseColWidth="10" defaultRowHeight="12.75" x14ac:dyDescent="0.2"/>
  <cols>
    <col min="1" max="1" width="53.85546875" bestFit="1" customWidth="1"/>
    <col min="2" max="2" width="8.42578125" style="1" customWidth="1"/>
  </cols>
  <sheetData>
    <row r="1" spans="1:3" x14ac:dyDescent="0.2">
      <c r="A1" t="s">
        <v>595</v>
      </c>
    </row>
    <row r="2" spans="1:3" x14ac:dyDescent="0.2">
      <c r="A2" t="str">
        <f>B2&amp;" "&amp;C2</f>
        <v>1 BUNDESÄMTER</v>
      </c>
      <c r="B2" s="1">
        <v>1</v>
      </c>
      <c r="C2" t="s">
        <v>274</v>
      </c>
    </row>
    <row r="3" spans="1:3" ht="12.6" x14ac:dyDescent="0.25">
      <c r="A3" t="str">
        <f t="shared" ref="A3:A66" si="0">B3&amp;" "&amp;C3</f>
        <v>1.1. ASTRA</v>
      </c>
      <c r="B3" s="1" t="s">
        <v>20</v>
      </c>
      <c r="C3" t="s">
        <v>275</v>
      </c>
    </row>
    <row r="4" spans="1:3" ht="12.6" x14ac:dyDescent="0.25">
      <c r="A4" t="str">
        <f t="shared" si="0"/>
        <v>1.2. NSNW AG</v>
      </c>
      <c r="B4" s="1" t="s">
        <v>22</v>
      </c>
      <c r="C4" t="s">
        <v>276</v>
      </c>
    </row>
    <row r="5" spans="1:3" x14ac:dyDescent="0.2">
      <c r="A5" t="str">
        <f t="shared" si="0"/>
        <v>1.9. Übrige Bundesämter</v>
      </c>
      <c r="B5" s="1" t="s">
        <v>40</v>
      </c>
      <c r="C5" t="s">
        <v>277</v>
      </c>
    </row>
    <row r="6" spans="1:3" x14ac:dyDescent="0.2">
      <c r="A6" t="str">
        <f t="shared" si="0"/>
        <v>2 KANTONALE ÄMTER</v>
      </c>
      <c r="B6" s="1">
        <v>2</v>
      </c>
      <c r="C6" t="s">
        <v>278</v>
      </c>
    </row>
    <row r="7" spans="1:3" ht="12.6" x14ac:dyDescent="0.25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2">
      <c r="A8" t="str">
        <f t="shared" si="0"/>
        <v>2.1.1. Tiefbauämter</v>
      </c>
      <c r="B8" s="1" t="s">
        <v>281</v>
      </c>
      <c r="C8" t="s">
        <v>282</v>
      </c>
    </row>
    <row r="9" spans="1:3" x14ac:dyDescent="0.2">
      <c r="A9" t="str">
        <f t="shared" si="0"/>
        <v>2.1.2. Hochbauämter</v>
      </c>
      <c r="B9" s="1" t="s">
        <v>283</v>
      </c>
      <c r="C9" t="s">
        <v>284</v>
      </c>
    </row>
    <row r="10" spans="1:3" x14ac:dyDescent="0.2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2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ht="12.6" x14ac:dyDescent="0.25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2">
      <c r="A13" t="str">
        <f t="shared" si="0"/>
        <v>2.2.1. Schweizerische Rheinhäfen</v>
      </c>
      <c r="B13" s="1" t="s">
        <v>291</v>
      </c>
      <c r="C13" t="s">
        <v>292</v>
      </c>
    </row>
    <row r="14" spans="1:3" ht="12.6" x14ac:dyDescent="0.25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2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2">
      <c r="A16" t="str">
        <f t="shared" si="0"/>
        <v>2.9. Übrige kantonale Ämter</v>
      </c>
      <c r="B16" s="1" t="s">
        <v>297</v>
      </c>
      <c r="C16" t="s">
        <v>298</v>
      </c>
    </row>
    <row r="17" spans="1:3" ht="12.6" x14ac:dyDescent="0.25">
      <c r="A17" t="str">
        <f t="shared" si="0"/>
        <v>3 GEMEINDEN</v>
      </c>
      <c r="B17" s="1">
        <v>3</v>
      </c>
      <c r="C17" t="s">
        <v>299</v>
      </c>
    </row>
    <row r="18" spans="1:3" ht="12.6" x14ac:dyDescent="0.25">
      <c r="A18" t="str">
        <f t="shared" si="0"/>
        <v>3.0 KANTON BS</v>
      </c>
      <c r="B18" s="2" t="s">
        <v>300</v>
      </c>
      <c r="C18" t="s">
        <v>301</v>
      </c>
    </row>
    <row r="19" spans="1:3" ht="12.6" x14ac:dyDescent="0.25">
      <c r="A19" t="str">
        <f t="shared" si="0"/>
        <v>3.0.1. Basel</v>
      </c>
      <c r="B19" s="1" t="s">
        <v>302</v>
      </c>
      <c r="C19" t="s">
        <v>303</v>
      </c>
    </row>
    <row r="20" spans="1:3" ht="12.6" x14ac:dyDescent="0.25">
      <c r="A20" t="str">
        <f t="shared" si="0"/>
        <v>3.0.2. Bettingen</v>
      </c>
      <c r="B20" s="1" t="s">
        <v>304</v>
      </c>
      <c r="C20" t="s">
        <v>305</v>
      </c>
    </row>
    <row r="21" spans="1:3" ht="12.6" x14ac:dyDescent="0.25">
      <c r="A21" t="str">
        <f t="shared" si="0"/>
        <v>3.0.3. Riehen</v>
      </c>
      <c r="B21" s="1" t="s">
        <v>306</v>
      </c>
      <c r="C21" t="s">
        <v>307</v>
      </c>
    </row>
    <row r="22" spans="1:3" ht="12.6" x14ac:dyDescent="0.25">
      <c r="A22" t="str">
        <f t="shared" si="0"/>
        <v>3.1. KANTON BL</v>
      </c>
      <c r="B22" s="1" t="s">
        <v>71</v>
      </c>
      <c r="C22" t="s">
        <v>308</v>
      </c>
    </row>
    <row r="23" spans="1:3" ht="12.6" x14ac:dyDescent="0.25">
      <c r="A23" t="str">
        <f t="shared" si="0"/>
        <v>3.1.01. Aesch</v>
      </c>
      <c r="B23" s="1" t="s">
        <v>309</v>
      </c>
      <c r="C23" t="s">
        <v>310</v>
      </c>
    </row>
    <row r="24" spans="1:3" ht="12.6" x14ac:dyDescent="0.25">
      <c r="A24" t="str">
        <f t="shared" si="0"/>
        <v>3.1.02. Binningen</v>
      </c>
      <c r="B24" s="1" t="s">
        <v>311</v>
      </c>
      <c r="C24" t="s">
        <v>312</v>
      </c>
    </row>
    <row r="25" spans="1:3" ht="12.6" x14ac:dyDescent="0.25">
      <c r="A25" t="str">
        <f t="shared" si="0"/>
        <v>3.1.03. Birsfelden</v>
      </c>
      <c r="B25" s="1" t="s">
        <v>313</v>
      </c>
      <c r="C25" t="s">
        <v>314</v>
      </c>
    </row>
    <row r="26" spans="1:3" ht="12.6" x14ac:dyDescent="0.25">
      <c r="A26" t="str">
        <f t="shared" si="0"/>
        <v>3.1.04. Duggingen</v>
      </c>
      <c r="B26" s="1" t="s">
        <v>315</v>
      </c>
      <c r="C26" t="s">
        <v>316</v>
      </c>
    </row>
    <row r="27" spans="1:3" ht="12.6" x14ac:dyDescent="0.25">
      <c r="A27" t="str">
        <f t="shared" si="0"/>
        <v>3.1.05. Nusshof</v>
      </c>
      <c r="B27" s="1" t="s">
        <v>317</v>
      </c>
      <c r="C27" t="s">
        <v>318</v>
      </c>
    </row>
    <row r="28" spans="1:3" ht="12.6" x14ac:dyDescent="0.25">
      <c r="A28" t="str">
        <f t="shared" si="0"/>
        <v>3.1.06. Reinach</v>
      </c>
      <c r="B28" s="1" t="s">
        <v>319</v>
      </c>
      <c r="C28" t="s">
        <v>320</v>
      </c>
    </row>
    <row r="29" spans="1:3" x14ac:dyDescent="0.2">
      <c r="A29" t="str">
        <f t="shared" si="0"/>
        <v>3.1.29. Übrige Gemeinden Kanton BL</v>
      </c>
      <c r="B29" s="1" t="s">
        <v>321</v>
      </c>
      <c r="C29" t="s">
        <v>322</v>
      </c>
    </row>
    <row r="30" spans="1:3" ht="12.6" x14ac:dyDescent="0.25">
      <c r="A30" t="str">
        <f t="shared" si="0"/>
        <v>3.2. KANTON AG</v>
      </c>
      <c r="B30" s="1" t="s">
        <v>74</v>
      </c>
      <c r="C30" t="s">
        <v>323</v>
      </c>
    </row>
    <row r="31" spans="1:3" ht="12.6" x14ac:dyDescent="0.25">
      <c r="A31" t="str">
        <f t="shared" si="0"/>
        <v>3.2.01. Hellikon</v>
      </c>
      <c r="B31" s="1" t="s">
        <v>324</v>
      </c>
      <c r="C31" t="s">
        <v>325</v>
      </c>
    </row>
    <row r="32" spans="1:3" ht="12.6" x14ac:dyDescent="0.25">
      <c r="A32" t="str">
        <f t="shared" si="0"/>
        <v>3.2.02. Magden</v>
      </c>
      <c r="B32" s="1" t="s">
        <v>326</v>
      </c>
      <c r="C32" t="s">
        <v>327</v>
      </c>
    </row>
    <row r="33" spans="1:3" x14ac:dyDescent="0.2">
      <c r="A33" t="str">
        <f t="shared" si="0"/>
        <v>3.2.03. Möhlin</v>
      </c>
      <c r="B33" s="1" t="s">
        <v>328</v>
      </c>
      <c r="C33" t="s">
        <v>329</v>
      </c>
    </row>
    <row r="34" spans="1:3" ht="12.6" x14ac:dyDescent="0.25">
      <c r="A34" t="str">
        <f t="shared" si="0"/>
        <v>3.2.04. Mumpf</v>
      </c>
      <c r="B34" s="1" t="s">
        <v>330</v>
      </c>
      <c r="C34" t="s">
        <v>331</v>
      </c>
    </row>
    <row r="35" spans="1:3" ht="12.6" x14ac:dyDescent="0.25">
      <c r="A35" t="str">
        <f t="shared" si="0"/>
        <v>3.2.05. Olsberg</v>
      </c>
      <c r="B35" s="1" t="s">
        <v>332</v>
      </c>
      <c r="C35" t="s">
        <v>333</v>
      </c>
    </row>
    <row r="36" spans="1:3" ht="12.6" x14ac:dyDescent="0.25">
      <c r="A36" t="str">
        <f t="shared" si="0"/>
        <v>3.2.06. Rheinfelden</v>
      </c>
      <c r="B36" s="1" t="s">
        <v>334</v>
      </c>
      <c r="C36" t="s">
        <v>335</v>
      </c>
    </row>
    <row r="37" spans="1:3" ht="12.6" x14ac:dyDescent="0.25">
      <c r="A37" t="str">
        <f t="shared" si="0"/>
        <v>3.2.07. Wegenstetten</v>
      </c>
      <c r="B37" s="1" t="s">
        <v>336</v>
      </c>
      <c r="C37" t="s">
        <v>337</v>
      </c>
    </row>
    <row r="38" spans="1:3" ht="12.6" x14ac:dyDescent="0.25">
      <c r="A38" t="str">
        <f t="shared" si="0"/>
        <v>3.2.08. Zeiningen</v>
      </c>
      <c r="B38" s="1" t="s">
        <v>338</v>
      </c>
      <c r="C38" t="s">
        <v>339</v>
      </c>
    </row>
    <row r="39" spans="1:3" x14ac:dyDescent="0.2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2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2">
      <c r="A41" t="str">
        <f t="shared" si="0"/>
        <v>4 WERKE</v>
      </c>
      <c r="B41" s="1">
        <v>4</v>
      </c>
      <c r="C41" t="s">
        <v>343</v>
      </c>
    </row>
    <row r="42" spans="1:3" x14ac:dyDescent="0.2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2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2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2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2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2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2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2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2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2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2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2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2">
      <c r="A54" t="str">
        <f t="shared" si="0"/>
        <v>4.3. FERNWÄRME</v>
      </c>
      <c r="B54" s="1" t="s">
        <v>99</v>
      </c>
      <c r="C54" t="s">
        <v>365</v>
      </c>
    </row>
    <row r="55" spans="1:3" x14ac:dyDescent="0.2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2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2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2">
      <c r="A58" t="str">
        <f t="shared" si="0"/>
        <v>4.4. ABWASSER</v>
      </c>
      <c r="B58" s="1" t="s">
        <v>101</v>
      </c>
      <c r="C58" t="s">
        <v>371</v>
      </c>
    </row>
    <row r="59" spans="1:3" x14ac:dyDescent="0.2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2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2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2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2">
      <c r="A63" t="str">
        <f t="shared" si="0"/>
        <v>4.5. GAS</v>
      </c>
      <c r="B63" s="1" t="s">
        <v>103</v>
      </c>
      <c r="C63" t="s">
        <v>380</v>
      </c>
    </row>
    <row r="64" spans="1:3" x14ac:dyDescent="0.2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2">
      <c r="A65" t="str">
        <f t="shared" si="0"/>
        <v>4.5.9. Übrige Gas</v>
      </c>
      <c r="B65" s="1" t="s">
        <v>382</v>
      </c>
      <c r="C65" t="s">
        <v>383</v>
      </c>
    </row>
    <row r="66" spans="1:3" x14ac:dyDescent="0.2">
      <c r="A66" t="str">
        <f t="shared" si="0"/>
        <v>4.9. ÜBRIGE WERKE</v>
      </c>
      <c r="B66" s="1" t="s">
        <v>105</v>
      </c>
      <c r="C66" t="s">
        <v>384</v>
      </c>
    </row>
    <row r="67" spans="1:3" x14ac:dyDescent="0.2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2">
      <c r="A68" t="str">
        <f t="shared" si="1"/>
        <v>5.1. BANKEN</v>
      </c>
      <c r="B68" s="1" t="s">
        <v>108</v>
      </c>
      <c r="C68" t="s">
        <v>386</v>
      </c>
    </row>
    <row r="69" spans="1:3" x14ac:dyDescent="0.2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2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2">
      <c r="A71" t="str">
        <f t="shared" si="1"/>
        <v>5.1.3. UBS</v>
      </c>
      <c r="B71" s="1" t="s">
        <v>115</v>
      </c>
      <c r="C71" t="s">
        <v>389</v>
      </c>
    </row>
    <row r="72" spans="1:3" x14ac:dyDescent="0.2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2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2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2">
      <c r="A75" t="str">
        <f t="shared" si="1"/>
        <v>5.2. VERSICHERUNGEN</v>
      </c>
      <c r="B75" s="1" t="s">
        <v>131</v>
      </c>
      <c r="C75" t="s">
        <v>393</v>
      </c>
    </row>
    <row r="76" spans="1:3" x14ac:dyDescent="0.2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2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2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2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2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2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2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2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2">
      <c r="A84" t="str">
        <f t="shared" si="1"/>
        <v>5.4.1. Swisscom</v>
      </c>
      <c r="B84" s="1" t="s">
        <v>167</v>
      </c>
      <c r="C84" t="s">
        <v>402</v>
      </c>
    </row>
    <row r="85" spans="1:3" x14ac:dyDescent="0.2">
      <c r="A85" t="str">
        <f t="shared" si="1"/>
        <v>5.4.2. Orange</v>
      </c>
      <c r="B85" s="1" t="s">
        <v>170</v>
      </c>
      <c r="C85" t="s">
        <v>403</v>
      </c>
    </row>
    <row r="86" spans="1:3" x14ac:dyDescent="0.2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2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2">
      <c r="A88" t="str">
        <f t="shared" si="1"/>
        <v>5.5.1. Messe Basel</v>
      </c>
      <c r="B88" s="1" t="s">
        <v>188</v>
      </c>
      <c r="C88" t="s">
        <v>406</v>
      </c>
    </row>
    <row r="89" spans="1:3" x14ac:dyDescent="0.2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2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2">
      <c r="A91" t="str">
        <f t="shared" si="1"/>
        <v>5.6. GENERALPLANER</v>
      </c>
      <c r="B91" s="1" t="s">
        <v>197</v>
      </c>
      <c r="C91" t="s">
        <v>409</v>
      </c>
    </row>
    <row r="92" spans="1:3" x14ac:dyDescent="0.2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2">
      <c r="A93" t="str">
        <f t="shared" si="1"/>
        <v>6 ÖFFENTLICHER VERKEHR</v>
      </c>
      <c r="B93" s="1">
        <v>6</v>
      </c>
      <c r="C93" t="s">
        <v>412</v>
      </c>
    </row>
    <row r="94" spans="1:3" x14ac:dyDescent="0.2">
      <c r="A94" t="str">
        <f t="shared" si="1"/>
        <v>6.1. SBB</v>
      </c>
      <c r="B94" s="1" t="s">
        <v>413</v>
      </c>
      <c r="C94" t="s">
        <v>414</v>
      </c>
    </row>
    <row r="95" spans="1:3" x14ac:dyDescent="0.2">
      <c r="A95" t="str">
        <f t="shared" si="1"/>
        <v>6.2. DB</v>
      </c>
      <c r="B95" s="1" t="s">
        <v>415</v>
      </c>
      <c r="C95" t="s">
        <v>416</v>
      </c>
    </row>
    <row r="96" spans="1:3" x14ac:dyDescent="0.2">
      <c r="A96" t="str">
        <f t="shared" si="1"/>
        <v>6.3. BVB</v>
      </c>
      <c r="B96" s="1" t="s">
        <v>417</v>
      </c>
      <c r="C96" t="s">
        <v>418</v>
      </c>
    </row>
    <row r="97" spans="1:3" x14ac:dyDescent="0.2">
      <c r="A97" t="str">
        <f t="shared" si="1"/>
        <v>6.4. BLT</v>
      </c>
      <c r="B97" s="1" t="s">
        <v>419</v>
      </c>
      <c r="C97" t="s">
        <v>420</v>
      </c>
    </row>
    <row r="98" spans="1:3" x14ac:dyDescent="0.2">
      <c r="A98" t="str">
        <f t="shared" si="1"/>
        <v>6.5. EuroAirport</v>
      </c>
      <c r="B98" s="1" t="s">
        <v>421</v>
      </c>
      <c r="C98" t="s">
        <v>422</v>
      </c>
    </row>
    <row r="99" spans="1:3" x14ac:dyDescent="0.2">
      <c r="A99" t="str">
        <f t="shared" si="1"/>
        <v>6.7 BLS</v>
      </c>
      <c r="B99" s="1">
        <v>6.7</v>
      </c>
      <c r="C99" t="s">
        <v>423</v>
      </c>
    </row>
    <row r="100" spans="1:3" x14ac:dyDescent="0.2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2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2">
      <c r="A102" t="str">
        <f t="shared" si="1"/>
        <v>7 INDUSTRIE/HANDEL</v>
      </c>
      <c r="B102" s="1">
        <v>7</v>
      </c>
      <c r="C102" t="s">
        <v>428</v>
      </c>
    </row>
    <row r="103" spans="1:3" x14ac:dyDescent="0.2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2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2">
      <c r="A105" t="str">
        <f t="shared" si="1"/>
        <v>7.1.02. AVIA</v>
      </c>
      <c r="B105" s="1" t="s">
        <v>433</v>
      </c>
      <c r="C105" t="s">
        <v>434</v>
      </c>
    </row>
    <row r="106" spans="1:3" x14ac:dyDescent="0.2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2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2">
      <c r="A108" t="str">
        <f t="shared" si="1"/>
        <v>7.1.05. BP</v>
      </c>
      <c r="B108" s="1" t="s">
        <v>439</v>
      </c>
      <c r="C108" t="s">
        <v>440</v>
      </c>
    </row>
    <row r="109" spans="1:3" x14ac:dyDescent="0.2">
      <c r="A109" t="str">
        <f t="shared" si="1"/>
        <v>7.1.06. Varo</v>
      </c>
      <c r="B109" s="1" t="s">
        <v>441</v>
      </c>
      <c r="C109" t="s">
        <v>442</v>
      </c>
    </row>
    <row r="110" spans="1:3" x14ac:dyDescent="0.2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2">
      <c r="A111" t="str">
        <f t="shared" si="1"/>
        <v>7.1.08. Rhenus</v>
      </c>
      <c r="B111" s="1" t="s">
        <v>445</v>
      </c>
      <c r="C111" t="s">
        <v>446</v>
      </c>
    </row>
    <row r="112" spans="1:3" x14ac:dyDescent="0.2">
      <c r="A112" t="str">
        <f t="shared" si="1"/>
        <v>7.1.09. Rhytank</v>
      </c>
      <c r="B112" s="1" t="s">
        <v>447</v>
      </c>
      <c r="C112" t="s">
        <v>448</v>
      </c>
    </row>
    <row r="113" spans="1:3" x14ac:dyDescent="0.2">
      <c r="A113" t="str">
        <f t="shared" si="1"/>
        <v>7.1.10. Contargo</v>
      </c>
      <c r="B113" s="1" t="s">
        <v>449</v>
      </c>
      <c r="C113" t="s">
        <v>450</v>
      </c>
    </row>
    <row r="114" spans="1:3" x14ac:dyDescent="0.2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2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2">
      <c r="A116" t="str">
        <f t="shared" si="1"/>
        <v>7.1.13. Landor</v>
      </c>
      <c r="B116" s="1" t="s">
        <v>455</v>
      </c>
      <c r="C116" t="s">
        <v>456</v>
      </c>
    </row>
    <row r="117" spans="1:3" x14ac:dyDescent="0.2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2">
      <c r="A118" t="str">
        <f t="shared" si="1"/>
        <v>7.2. CHEMIE</v>
      </c>
      <c r="B118" s="1" t="s">
        <v>459</v>
      </c>
      <c r="C118" t="s">
        <v>460</v>
      </c>
    </row>
    <row r="119" spans="1:3" x14ac:dyDescent="0.2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2">
      <c r="A120" t="str">
        <f t="shared" si="1"/>
        <v>7.2.2. Novartis</v>
      </c>
      <c r="B120" s="1" t="s">
        <v>463</v>
      </c>
      <c r="C120" t="s">
        <v>464</v>
      </c>
    </row>
    <row r="121" spans="1:3" x14ac:dyDescent="0.2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2">
      <c r="A122" t="str">
        <f t="shared" si="1"/>
        <v>7.2.4. Lonza</v>
      </c>
      <c r="B122" s="1" t="s">
        <v>467</v>
      </c>
      <c r="C122" t="s">
        <v>468</v>
      </c>
    </row>
    <row r="123" spans="1:3" x14ac:dyDescent="0.2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2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2">
      <c r="A125" t="str">
        <f t="shared" si="1"/>
        <v>7.2.7. Clariant</v>
      </c>
      <c r="B125" s="1" t="s">
        <v>473</v>
      </c>
      <c r="C125" t="s">
        <v>474</v>
      </c>
    </row>
    <row r="126" spans="1:3" x14ac:dyDescent="0.2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2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2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2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2">
      <c r="A130" t="str">
        <f t="shared" si="2"/>
        <v>7.3.3. Stamm AG</v>
      </c>
      <c r="B130" s="1" t="s">
        <v>483</v>
      </c>
      <c r="C130" t="s">
        <v>484</v>
      </c>
    </row>
    <row r="131" spans="1:3" x14ac:dyDescent="0.2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2">
      <c r="A132" t="str">
        <f t="shared" si="2"/>
        <v>7.3.5. Batigroup</v>
      </c>
      <c r="B132" s="1" t="s">
        <v>487</v>
      </c>
      <c r="C132" t="s">
        <v>488</v>
      </c>
    </row>
    <row r="133" spans="1:3" x14ac:dyDescent="0.2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2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2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2">
      <c r="A136" t="str">
        <f t="shared" si="2"/>
        <v>7.4.1. Migros</v>
      </c>
      <c r="B136" s="1" t="s">
        <v>495</v>
      </c>
      <c r="C136" t="s">
        <v>496</v>
      </c>
    </row>
    <row r="137" spans="1:3" x14ac:dyDescent="0.2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2">
      <c r="A138" t="str">
        <f t="shared" si="2"/>
        <v>7.4.3. Globus</v>
      </c>
      <c r="B138" s="1" t="s">
        <v>499</v>
      </c>
      <c r="C138" t="s">
        <v>500</v>
      </c>
    </row>
    <row r="139" spans="1:3" x14ac:dyDescent="0.2">
      <c r="A139" t="str">
        <f t="shared" si="2"/>
        <v>7.4.5. Manor</v>
      </c>
      <c r="B139" s="1" t="s">
        <v>501</v>
      </c>
      <c r="C139" t="s">
        <v>502</v>
      </c>
    </row>
    <row r="140" spans="1:3" x14ac:dyDescent="0.2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2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2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2">
      <c r="A143" t="str">
        <f t="shared" si="2"/>
        <v>7.9.9. Übrige</v>
      </c>
      <c r="B143" s="1" t="s">
        <v>509</v>
      </c>
      <c r="C143" t="s">
        <v>67</v>
      </c>
    </row>
    <row r="144" spans="1:3" x14ac:dyDescent="0.2">
      <c r="A144" t="str">
        <f t="shared" si="2"/>
        <v>8 ARCHITEKTEN</v>
      </c>
      <c r="B144" s="1">
        <v>8</v>
      </c>
      <c r="C144" t="s">
        <v>510</v>
      </c>
    </row>
    <row r="145" spans="1:3" x14ac:dyDescent="0.2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2">
      <c r="A146" t="str">
        <f t="shared" si="2"/>
        <v>8.02. Arcoplan</v>
      </c>
      <c r="B146" s="1" t="s">
        <v>513</v>
      </c>
      <c r="C146" t="s">
        <v>514</v>
      </c>
    </row>
    <row r="147" spans="1:3" x14ac:dyDescent="0.2">
      <c r="A147" t="str">
        <f t="shared" si="2"/>
        <v>8.03. Baader</v>
      </c>
      <c r="B147" s="1" t="s">
        <v>515</v>
      </c>
      <c r="C147" t="s">
        <v>516</v>
      </c>
    </row>
    <row r="148" spans="1:3" x14ac:dyDescent="0.2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2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2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2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2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2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2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2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2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2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2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2">
      <c r="A159" t="str">
        <f t="shared" si="2"/>
        <v>8.15. Furrer R.</v>
      </c>
      <c r="B159" s="1" t="s">
        <v>539</v>
      </c>
      <c r="C159" t="s">
        <v>540</v>
      </c>
    </row>
    <row r="160" spans="1:3" x14ac:dyDescent="0.2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2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2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2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2">
      <c r="A164" t="str">
        <f t="shared" si="2"/>
        <v>8.20. Hotz Theo</v>
      </c>
      <c r="B164" s="1" t="s">
        <v>549</v>
      </c>
      <c r="C164" t="s">
        <v>550</v>
      </c>
    </row>
    <row r="165" spans="1:3" x14ac:dyDescent="0.2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2">
      <c r="A166" t="str">
        <f t="shared" si="2"/>
        <v>8.22. Meyer S.</v>
      </c>
      <c r="B166" s="1" t="s">
        <v>553</v>
      </c>
      <c r="C166" t="s">
        <v>554</v>
      </c>
    </row>
    <row r="167" spans="1:3" x14ac:dyDescent="0.2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2">
      <c r="A168" t="str">
        <f t="shared" si="2"/>
        <v>8.24. Oplatek J.</v>
      </c>
      <c r="B168" s="1" t="s">
        <v>557</v>
      </c>
      <c r="C168" t="s">
        <v>558</v>
      </c>
    </row>
    <row r="169" spans="1:3" x14ac:dyDescent="0.2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2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2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2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2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2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2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2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2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2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2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2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2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9"/>
  <sheetViews>
    <sheetView workbookViewId="0">
      <selection activeCell="A9" sqref="A9"/>
    </sheetView>
  </sheetViews>
  <sheetFormatPr baseColWidth="10" defaultRowHeight="12.75" x14ac:dyDescent="0.2"/>
  <cols>
    <col min="1" max="1" width="31" style="3" customWidth="1"/>
    <col min="2" max="2" width="11.7109375" style="3" customWidth="1"/>
    <col min="3" max="3" width="25.5703125" style="3" bestFit="1" customWidth="1"/>
  </cols>
  <sheetData>
    <row r="1" spans="1:3" x14ac:dyDescent="0.2">
      <c r="A1" s="3" t="s">
        <v>595</v>
      </c>
    </row>
    <row r="2" spans="1:3" ht="12.6" x14ac:dyDescent="0.25">
      <c r="A2" s="3" t="str">
        <f t="shared" ref="A2:A8" si="0">CONCATENATE(B2," ",C2)</f>
        <v>A.B.BH. Bautenerhalt und Geomatik</v>
      </c>
      <c r="B2" s="4" t="s">
        <v>586</v>
      </c>
      <c r="C2" s="4" t="s">
        <v>622</v>
      </c>
    </row>
    <row r="3" spans="1:3" ht="12.6" x14ac:dyDescent="0.25">
      <c r="A3" s="3" t="str">
        <f t="shared" si="0"/>
        <v>A.B.IBB. Ingenieurbau und Bahnbau</v>
      </c>
      <c r="B3" s="4" t="s">
        <v>630</v>
      </c>
      <c r="C3" s="4" t="s">
        <v>623</v>
      </c>
    </row>
    <row r="4" spans="1:3" ht="12.6" x14ac:dyDescent="0.25">
      <c r="A4" s="3" t="str">
        <f t="shared" si="0"/>
        <v>A.B.PM. Projektmanagement und Generalplanung</v>
      </c>
      <c r="B4" s="4" t="s">
        <v>587</v>
      </c>
      <c r="C4" s="4" t="s">
        <v>624</v>
      </c>
    </row>
    <row r="5" spans="1:3" x14ac:dyDescent="0.2">
      <c r="A5" s="3" t="str">
        <f t="shared" si="0"/>
        <v>A.B.T2AG. Niederlassung Möhlin</v>
      </c>
      <c r="B5" s="4" t="s">
        <v>588</v>
      </c>
      <c r="C5" s="4" t="s">
        <v>625</v>
      </c>
    </row>
    <row r="6" spans="1:3" ht="12.6" x14ac:dyDescent="0.25">
      <c r="A6" s="3" t="str">
        <f t="shared" si="0"/>
        <v>A.B.TB. Tiefbau</v>
      </c>
      <c r="B6" s="4" t="s">
        <v>589</v>
      </c>
      <c r="C6" s="4" t="s">
        <v>590</v>
      </c>
    </row>
    <row r="7" spans="1:3" ht="12.6" x14ac:dyDescent="0.25">
      <c r="A7" s="3" t="str">
        <f t="shared" si="0"/>
        <v>A.B.VK. Verkehr und Umwelt</v>
      </c>
      <c r="B7" s="4" t="s">
        <v>591</v>
      </c>
      <c r="C7" s="4" t="s">
        <v>626</v>
      </c>
    </row>
    <row r="8" spans="1:3" ht="12.6" x14ac:dyDescent="0.25">
      <c r="A8" s="3" t="str">
        <f t="shared" si="0"/>
        <v>A.B.ZD. Zentrale Dienste</v>
      </c>
      <c r="B8" s="4" t="s">
        <v>592</v>
      </c>
      <c r="C8" s="4" t="s">
        <v>593</v>
      </c>
    </row>
    <row r="9" spans="1:3" ht="12.6" x14ac:dyDescent="0.25">
      <c r="B9" s="5"/>
      <c r="C9" s="5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9"/>
  <sheetViews>
    <sheetView workbookViewId="0">
      <selection activeCell="A9" sqref="A9"/>
    </sheetView>
  </sheetViews>
  <sheetFormatPr baseColWidth="10" defaultRowHeight="12.75" x14ac:dyDescent="0.2"/>
  <cols>
    <col min="1" max="1" width="37.85546875" customWidth="1"/>
  </cols>
  <sheetData>
    <row r="1" spans="1:1" x14ac:dyDescent="0.2">
      <c r="A1" t="s">
        <v>595</v>
      </c>
    </row>
    <row r="2" spans="1:1" ht="12.6" x14ac:dyDescent="0.25">
      <c r="A2" t="s">
        <v>599</v>
      </c>
    </row>
    <row r="3" spans="1:1" ht="12.6" x14ac:dyDescent="0.25">
      <c r="A3" t="s">
        <v>609</v>
      </c>
    </row>
    <row r="4" spans="1:1" ht="12.6" x14ac:dyDescent="0.25">
      <c r="A4" t="s">
        <v>610</v>
      </c>
    </row>
    <row r="5" spans="1:1" ht="12.6" x14ac:dyDescent="0.25">
      <c r="A5" t="s">
        <v>600</v>
      </c>
    </row>
    <row r="6" spans="1:1" ht="12.6" x14ac:dyDescent="0.25">
      <c r="A6" t="s">
        <v>601</v>
      </c>
    </row>
    <row r="7" spans="1:1" ht="12.6" x14ac:dyDescent="0.25">
      <c r="A7" t="s">
        <v>602</v>
      </c>
    </row>
    <row r="8" spans="1:1" ht="12.6" x14ac:dyDescent="0.25">
      <c r="A8" t="s">
        <v>603</v>
      </c>
    </row>
    <row r="9" spans="1:1" s="6" customFormat="1" x14ac:dyDescent="0.2">
      <c r="A9" s="6" t="s">
        <v>611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6"/>
  <sheetViews>
    <sheetView workbookViewId="0">
      <selection activeCell="C4" sqref="C4:D4"/>
    </sheetView>
  </sheetViews>
  <sheetFormatPr baseColWidth="10" defaultRowHeight="12.75" x14ac:dyDescent="0.2"/>
  <sheetData>
    <row r="1" spans="1:1" x14ac:dyDescent="0.2">
      <c r="A1" t="s">
        <v>595</v>
      </c>
    </row>
    <row r="2" spans="1:1" ht="12.6" x14ac:dyDescent="0.25">
      <c r="A2" t="s">
        <v>613</v>
      </c>
    </row>
    <row r="3" spans="1:1" ht="12.6" x14ac:dyDescent="0.25">
      <c r="A3" t="s">
        <v>614</v>
      </c>
    </row>
    <row r="4" spans="1:1" ht="12.6" x14ac:dyDescent="0.25">
      <c r="A4" t="s">
        <v>615</v>
      </c>
    </row>
    <row r="5" spans="1:1" x14ac:dyDescent="0.2">
      <c r="A5" t="s">
        <v>616</v>
      </c>
    </row>
    <row r="6" spans="1:1" x14ac:dyDescent="0.2">
      <c r="A6" t="s">
        <v>617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8</vt:i4>
      </vt:variant>
    </vt:vector>
  </HeadingPairs>
  <TitlesOfParts>
    <vt:vector size="15" baseType="lpstr">
      <vt:lpstr>.400</vt:lpstr>
      <vt:lpstr>Gebiet</vt:lpstr>
      <vt:lpstr>Bereich</vt:lpstr>
      <vt:lpstr>Branche</vt:lpstr>
      <vt:lpstr>Organisation</vt:lpstr>
      <vt:lpstr>NK-Tarifkat</vt:lpstr>
      <vt:lpstr>RG-Ausloesung</vt:lpstr>
      <vt:lpstr>Bereich</vt:lpstr>
      <vt:lpstr>Branche</vt:lpstr>
      <vt:lpstr>'.400'!Druckbereich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Martin Noelle</cp:lastModifiedBy>
  <cp:lastPrinted>2018-07-30T07:11:33Z</cp:lastPrinted>
  <dcterms:created xsi:type="dcterms:W3CDTF">2017-07-26T06:20:36Z</dcterms:created>
  <dcterms:modified xsi:type="dcterms:W3CDTF">2023-09-11T12:35:51Z</dcterms:modified>
</cp:coreProperties>
</file>