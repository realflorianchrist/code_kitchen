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246_FCh_EP_Sissach-Eptingen\P100_Projektschluessel\P110_Systemgestaltung\"/>
    </mc:Choice>
  </mc:AlternateContent>
  <bookViews>
    <workbookView xWindow="0" yWindow="0" windowWidth="17850" windowHeight="7515" activeTab="1"/>
  </bookViews>
  <sheets>
    <sheet name=".730" sheetId="1" r:id="rId1"/>
    <sheet name=".740" sheetId="8" r:id="rId2"/>
    <sheet name="Gebiet" sheetId="3" state="hidden" r:id="rId3"/>
    <sheet name="Bereich" sheetId="2" state="hidden" r:id="rId4"/>
    <sheet name="Branche" sheetId="4" state="hidden" r:id="rId5"/>
    <sheet name="Organisation" sheetId="5" state="hidden" r:id="rId6"/>
    <sheet name="NK-Tarifkat" sheetId="6" state="hidden" r:id="rId7"/>
    <sheet name="RG-Ausloesung" sheetId="7" state="hidden" r:id="rId8"/>
  </sheets>
  <definedNames>
    <definedName name="Bereich">Bereich!$A$1:$A$97</definedName>
    <definedName name="Branche">Branche!$A$1:$A$182</definedName>
    <definedName name="_xlnm.Print_Area" localSheetId="0">'.730'!$A$1:$F$79</definedName>
    <definedName name="_xlnm.Print_Area" localSheetId="1">'.740'!$A$1:$F$79</definedName>
    <definedName name="Gebiet">Gebiet!$A$1:$A$22</definedName>
    <definedName name="NKTarifkat">'NK-Tarifkat'!$A$1:$A$10</definedName>
    <definedName name="Organisationseinheit" localSheetId="6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3" i="8" l="1"/>
  <c r="A81" i="8"/>
  <c r="C3" i="8"/>
  <c r="A81" i="1" l="1"/>
  <c r="C3" i="1" l="1"/>
  <c r="A83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6" i="2"/>
  <c r="A95" i="2"/>
  <c r="A94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<sst xmlns="http://schemas.openxmlformats.org/spreadsheetml/2006/main" count="869" uniqueCount="673">
  <si>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</si>
  <si>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</si>
  <si>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</si>
  <si>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</si>
  <si>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</si>
  <si>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</si>
  <si>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</si>
  <si>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</si>
  <si>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</si>
  <si>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</si>
  <si>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</si>
  <si>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</si>
  <si>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</si>
  <si>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</si>
  <si>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</si>
  <si>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</si>
  <si>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</si>
  <si>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</si>
  <si>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</si>
  <si>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</si>
  <si>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</si>
  <si>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</si>
  <si>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</si>
  <si>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</si>
  <si>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</si>
  <si>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</si>
  <si>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</si>
  <si>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</si>
  <si>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</si>
  <si>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</si>
  <si>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</si>
  <si>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</si>
  <si>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</si>
  <si>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</si>
  <si>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</si>
  <si>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</si>
  <si>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</si>
  <si>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</si>
  <si>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</si>
  <si>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</si>
  <si>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</si>
  <si>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</si>
  <si>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</si>
  <si>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</si>
  <si>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</si>
  <si>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</si>
  <si>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</si>
  <si>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</si>
  <si>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</si>
  <si>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</si>
  <si>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</si>
  <si>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</si>
  <si>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</si>
  <si>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</si>
  <si>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</si>
  <si>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</si>
  <si>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</si>
  <si>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</si>
  <si>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</si>
  <si>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</si>
  <si>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</si>
  <si>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</si>
  <si>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</si>
  <si>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</si>
  <si>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</si>
  <si>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</si>
  <si>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</si>
  <si>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</si>
  <si>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</si>
  <si>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</si>
  <si>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</si>
  <si>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</si>
  <si>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</si>
  <si>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</si>
  <si>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</si>
  <si>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</si>
  <si>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</si>
  <si>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</si>
  <si>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</si>
  <si>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</si>
  <si>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</si>
  <si>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</si>
  <si>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</si>
  <si>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</si>
  <si>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</si>
  <si>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</si>
  <si>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</si>
  <si>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</si>
  <si>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</si>
  <si>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</si>
  <si>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</si>
  <si>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</si>
  <si>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</si>
  <si>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</si>
  <si>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</si>
  <si>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</si>
  <si>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</si>
  <si>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</si>
  <si>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</si>
  <si>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</si>
  <si>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</si>
  <si>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</si>
  <si>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</si>
  <si>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</si>
  <si>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</si>
  <si>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</si>
  <si>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</si>
  <si>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</si>
  <si>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</si>
  <si>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</si>
  <si>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</si>
  <si>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</si>
  <si>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</si>
  <si>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</si>
  <si>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</si>
  <si>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</si>
  <si>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</si>
  <si>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</si>
  <si>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</si>
  <si>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</si>
  <si>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</si>
  <si>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</si>
  <si>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</si>
  <si>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</si>
  <si>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</si>
  <si>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</si>
  <si>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</si>
  <si>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</si>
  <si>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</si>
  <si>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</si>
  <si>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</si>
  <si>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</si>
  <si>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</si>
  <si>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</si>
  <si>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</si>
  <si>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</si>
  <si>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</si>
  <si>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</si>
  <si>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</si>
  <si>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</si>
  <si>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</si>
  <si>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</si>
  <si>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</si>
  <si>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</si>
  <si>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</si>
  <si>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</si>
  <si>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</si>
  <si>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</si>
  <si>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</si>
  <si>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</si>
  <si>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</si>
  <si>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</si>
  <si>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</si>
  <si>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</si>
  <si>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</si>
  <si>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</si>
  <si>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</si>
  <si>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</si>
  <si>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</si>
  <si>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</si>
  <si>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</si>
  <si>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</si>
  <si>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</si>
  <si>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</si>
  <si>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</si>
  <si>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</si>
  <si>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</si>
  <si>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</si>
  <si>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</si>
  <si>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</si>
  <si>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</si>
  <si>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</si>
  <si>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</si>
  <si>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</si>
  <si>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</si>
  <si>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</si>
  <si>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</si>
  <si>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</si>
  <si>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</si>
  <si>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</si>
  <si>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</si>
  <si>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</si>
  <si>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</si>
  <si>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</si>
  <si>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</si>
  <si>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</si>
  <si>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</si>
  <si>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</si>
  <si>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</si>
  <si>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</si>
  <si>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</si>
  <si>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</si>
  <si>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</si>
  <si>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</si>
  <si>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</si>
  <si>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</si>
  <si>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</si>
  <si>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</si>
  <si>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</si>
  <si>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</si>
  <si>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</si>
  <si>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</si>
  <si>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</si>
  <si>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</si>
  <si>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</si>
  <si>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</si>
  <si>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</si>
  <si>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</si>
  <si>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</si>
  <si>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</si>
  <si>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</si>
  <si>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</si>
  <si>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</si>
  <si>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</si>
  <si>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</si>
  <si>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</si>
  <si>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</si>
  <si>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</si>
  <si>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</si>
  <si>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</si>
  <si>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</si>
  <si>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</si>
  <si>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</si>
  <si>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</si>
  <si>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</si>
  <si>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</si>
  <si>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</si>
  <si>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</si>
  <si>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</si>
  <si>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</si>
  <si>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</si>
  <si>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</si>
  <si>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</si>
  <si>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</si>
  <si>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</si>
  <si>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</si>
  <si>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</si>
  <si>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</si>
  <si>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</si>
  <si>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</si>
  <si>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</si>
  <si>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</si>
  <si>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</si>
  <si>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</si>
  <si>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</si>
  <si>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</si>
  <si>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</si>
  <si>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</si>
  <si>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</si>
  <si>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</si>
  <si>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</si>
  <si>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</si>
  <si>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</si>
  <si>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</si>
  <si>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</si>
  <si>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</si>
  <si>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</si>
  <si>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</si>
  <si>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</si>
  <si>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</si>
  <si>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</si>
  <si>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</si>
  <si>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</si>
  <si>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</si>
  <si>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</si>
  <si>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</si>
  <si>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</si>
  <si>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</si>
  <si>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</si>
  <si>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</si>
  <si>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</si>
  <si>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</si>
  <si>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</si>
  <si>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</si>
  <si>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</si>
  <si>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</si>
  <si>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</si>
  <si>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</si>
  <si>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</si>
  <si>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</si>
  <si>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</si>
  <si>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</si>
  <si>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</si>
  <si>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</si>
  <si>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</si>
  <si>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</si>
  <si>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</si>
  <si>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</si>
  <si>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</si>
  <si>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</si>
  <si>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</si>
  <si>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</si>
  <si>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</si>
  <si>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</si>
  <si>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</si>
  <si>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</si>
  <si>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</si>
  <si>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</si>
  <si>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</si>
  <si>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</si>
  <si>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</si>
  <si>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</si>
  <si>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</si>
  <si>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</si>
  <si>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</si>
  <si>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</si>
  <si>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</si>
  <si>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</si>
  <si>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</si>
  <si>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</si>
  <si>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</si>
  <si>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</si>
  <si>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</si>
  <si>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</si>
  <si>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</si>
  <si>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</si>
  <si>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</si>
  <si>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</si>
  <si>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</si>
  <si>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</si>
  <si>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</si>
  <si>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</si>
  <si>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</si>
  <si>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</si>
  <si>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</si>
  <si>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</si>
  <si>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</si>
  <si>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</si>
  <si>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</si>
  <si>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</si>
  <si>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</si>
  <si>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</si>
  <si>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</si>
  <si>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</si>
  <si>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</si>
  <si>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</si>
  <si>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</si>
  <si>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</si>
  <si>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</si>
  <si>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</si>
  <si>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</si>
  <si>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</si>
  <si>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</si>
  <si>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</si>
  <si>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</si>
  <si>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</si>
  <si>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</si>
  <si>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</si>
  <si>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</si>
  <si>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</si>
  <si>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</si>
  <si>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</si>
  <si>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</si>
  <si>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</si>
  <si>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</si>
  <si>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</si>
  <si>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</si>
  <si>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</si>
  <si>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</si>
  <si>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</si>
  <si>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</si>
  <si>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</si>
  <si>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</si>
  <si>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</si>
  <si>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</si>
  <si>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</si>
  <si>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</si>
  <si>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</si>
  <si>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</si>
  <si>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</si>
  <si>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</si>
  <si>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</si>
  <si>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</si>
  <si>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</si>
  <si>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</si>
  <si>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</si>
  <si>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</si>
  <si>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</si>
  <si>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</si>
  <si>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</si>
  <si>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</si>
  <si>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</si>
  <si>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</si>
  <si>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</si>
  <si>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</si>
  <si>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</si>
  <si>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</si>
  <si>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</si>
  <si>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</si>
  <si>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</si>
  <si>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</si>
  <si>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</si>
  <si>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</si>
  <si>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</si>
  <si>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</si>
  <si>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</si>
  <si>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</si>
  <si>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</si>
  <si>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</si>
  <si>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</si>
  <si>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</si>
  <si>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</si>
  <si>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</si>
  <si>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</si>
  <si>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</si>
  <si>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</si>
  <si>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</si>
  <si>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</si>
  <si>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</si>
  <si>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</si>
  <si>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</si>
  <si>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</si>
  <si>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</si>
  <si>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</si>
  <si>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</si>
  <si>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</si>
  <si>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</si>
  <si>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</si>
  <si>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</si>
  <si>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</si>
  <si>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</si>
  <si>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</si>
  <si>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</si>
  <si>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</si>
  <si>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</si>
  <si>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</si>
  <si>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</si>
  <si>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</si>
  <si>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</si>
  <si>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</si>
  <si>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</si>
  <si>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</si>
  <si>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</si>
  <si>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</si>
  <si>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</si>
  <si>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</si>
  <si>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</si>
  <si>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</si>
  <si>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</si>
  <si>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</si>
  <si>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</si>
  <si>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</si>
  <si>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</si>
  <si>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</si>
  <si>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</si>
  <si>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</si>
  <si>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</si>
  <si>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</si>
  <si>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</si>
  <si>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</si>
  <si>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</si>
  <si>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</si>
  <si>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</si>
  <si>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</si>
  <si>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</si>
  <si>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</si>
  <si>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</si>
  <si>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</si>
  <si>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</si>
  <si>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</si>
  <si>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</si>
  <si>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</si>
  <si>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</si>
  <si>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</si>
  <si>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</si>
  <si>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</si>
  <si>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</si>
  <si>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</si>
  <si>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</si>
  <si>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</si>
  <si>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</si>
  <si>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</si>
  <si>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</si>
  <si>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</si>
  <si>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</si>
  <si>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</si>
  <si>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</si>
  <si>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</si>
  <si>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</si>
  <si>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</si>
  <si>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</si>
  <si>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</si>
  <si>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</si>
  <si>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</si>
  <si>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</si>
  <si>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</si>
  <si>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</si>
  <si>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</si>
  <si>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</si>
  <si>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</si>
  <si>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</si>
  <si>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</si>
  <si>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</si>
  <si>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</si>
  <si>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</si>
  <si>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</si>
  <si>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</si>
  <si>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</si>
  <si>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</si>
  <si>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</si>
  <si>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</si>
  <si>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</si>
  <si>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</si>
  <si>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</si>
  <si>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</si>
  <si>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</si>
  <si>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</si>
  <si>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</si>
  <si>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</si>
  <si>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</si>
  <si>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</si>
  <si>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</si>
  <si>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</si>
  <si>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</si>
  <si>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</si>
  <si>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</si>
  <si>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</si>
  <si>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</si>
  <si>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</si>
  <si>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</si>
  <si>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</si>
  <si>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</si>
  <si>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</si>
  <si>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</si>
  <si>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</si>
  <si>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</si>
  <si>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</si>
  <si>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</si>
  <si>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</si>
  <si>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</si>
  <si>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</si>
  <si>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</si>
  <si>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</si>
  <si>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</si>
  <si>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</si>
  <si>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</si>
  <si>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</si>
  <si>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</si>
  <si>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</si>
  <si>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</si>
  <si>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</si>
  <si>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</si>
  <si>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</si>
  <si>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</si>
  <si>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</si>
  <si>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</si>
  <si>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</si>
  <si>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</si>
  <si>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</si>
  <si>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</si>
  <si>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</si>
  <si>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</si>
  <si>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</si>
  <si>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</si>
  <si>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</si>
  <si>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</si>
  <si>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</si>
  <si>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</si>
  <si>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</si>
  <si>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</si>
  <si>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</si>
  <si>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</si>
  <si>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</si>
  <si>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</si>
  <si>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</si>
  <si>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</si>
  <si>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</si>
  <si>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</si>
  <si>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</si>
  <si>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</si>
  <si>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</si>
  <si>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</si>
  <si>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</si>
  <si>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</si>
  <si>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</si>
  <si>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</si>
  <si>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</si>
  <si>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</si>
  <si>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</si>
  <si>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</si>
  <si>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</si>
  <si>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</si>
  <si>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</si>
  <si>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</si>
  <si>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</si>
  <si>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</si>
  <si>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</si>
  <si>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</si>
  <si>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</si>
  <si>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</si>
  <si>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</si>
  <si>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</si>
  <si>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</si>
  <si>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</si>
  <si>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</si>
  <si>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</si>
  <si>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</si>
  <si>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</si>
  <si>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</si>
  <si>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</si>
  <si>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</si>
  <si>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</si>
  <si>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</si>
  <si>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</si>
  <si>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</si>
  <si>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</si>
  <si>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</si>
  <si>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</si>
  <si>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</si>
  <si>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</si>
  <si>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</si>
  <si>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</si>
  <si>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</si>
  <si>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</si>
  <si>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</si>
  <si>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</si>
  <si>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</si>
  <si>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</si>
  <si>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</si>
  <si>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</si>
  <si>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</si>
  <si>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</si>
  <si>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</si>
  <si>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</si>
  <si>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</si>
  <si>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</si>
  <si>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</si>
  <si>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</si>
  <si>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</si>
  <si>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</si>
  <si>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</si>
  <si>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</si>
  <si>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</si>
  <si>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</si>
  <si>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</si>
  <si>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</si>
  <si>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</si>
  <si>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</si>
  <si>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</si>
  <si>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</si>
  <si>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</si>
  <si>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</si>
  <si>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</si>
  <si>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</si>
  <si>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</si>
  <si>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Versandadresse = Bauherr/Auftraggeber</t>
  </si>
  <si>
    <t>Bauherr / Auftraggeber</t>
  </si>
  <si>
    <t>BIM-Projekt eröffnen</t>
  </si>
  <si>
    <t>5.8.2. Brandschutz Visiotec</t>
  </si>
  <si>
    <t>5.8.2.</t>
  </si>
  <si>
    <t>Visiotec</t>
  </si>
  <si>
    <t>5.8.3. Übriger Brandschutz</t>
  </si>
  <si>
    <t>5.8.3.</t>
  </si>
  <si>
    <t>Brandschutz Visiotec</t>
  </si>
  <si>
    <t>Übriger Brandschutz</t>
  </si>
  <si>
    <t>A.B.BH. Bautenerhalt und Geomatik</t>
  </si>
  <si>
    <t>FL</t>
  </si>
  <si>
    <t>Brühlstrasse 3</t>
  </si>
  <si>
    <t>4800 Zofingen</t>
  </si>
  <si>
    <t>Gartenstrasse 15</t>
  </si>
  <si>
    <t>4132 Muttenz</t>
  </si>
  <si>
    <t>FCh</t>
  </si>
  <si>
    <t>CH.02.Kanton BL</t>
  </si>
  <si>
    <t>1.1. ASTRA</t>
  </si>
  <si>
    <t>070017/000025</t>
  </si>
  <si>
    <t>9246 N02 SIEP /Kt BL 2020 (Vertrag)</t>
  </si>
  <si>
    <t>4.9. Übrige Bautenerhalt</t>
  </si>
  <si>
    <t>INGE EPSI, c/o Jauslin + Stebler AG</t>
  </si>
  <si>
    <t>ASTRA F3</t>
  </si>
  <si>
    <t>N02, EP Sissach-Eptingen</t>
  </si>
  <si>
    <t>Jürg Merian</t>
  </si>
  <si>
    <t>TP1, T/G - Phase 53 DAW</t>
  </si>
  <si>
    <t>TP3, K - Phase 53 DAW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</si>
</sst>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8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3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firstButton="1" fmlaLink="G55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ctrlProps/ctrlProp20.xml><?xml version="1.0" encoding="utf-8"?>
<formControlPr xmlns="http://schemas.microsoft.com/office/spreadsheetml/2009/9/main" objectType="CheckBox" fmlaLink="$G$49" lockText="1" noThreeD="1"/>
</file>

<file path=xl/ctrlProps/ctrlProp21.xml><?xml version="1.0" encoding="utf-8"?>
<formControlPr xmlns="http://schemas.microsoft.com/office/spreadsheetml/2009/9/main" objectType="CheckBox" fmlaLink="$G$45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Radio" checked="Checked" firstButton="1" fmlaLink="G63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firstButton="1" fmlaLink="G55" lockText="1" noThreeD="1"/>
</file>

<file path=xl/ctrlProps/ctrlProp29.xml><?xml version="1.0" encoding="utf-8"?>
<formControlPr xmlns="http://schemas.microsoft.com/office/spreadsheetml/2009/9/main" objectType="Radio" checked="Checked" lockText="1" noThreeD="1"/>
</file>

<file path=xl/ctrlProps/ctrlProp30.xml><?xml version="1.0" encoding="utf-8"?>
<formControlPr xmlns="http://schemas.microsoft.com/office/spreadsheetml/2009/9/main" objectType="GBox"/>
</file>

<file path=xl/ctrlProps/ctrlProp31.xml><?xml version="1.0" encoding="utf-8"?>
<formControlPr xmlns="http://schemas.microsoft.com/office/spreadsheetml/2009/9/main" objectType="Radio" firstButton="1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fmlaLink="$G$20" lockText="1" noThreeD="1"/>
</file>

<file path=xl/ctrlProps/ctrlProp40.xml><?xml version="1.0" encoding="utf-8"?>
<formControlPr xmlns="http://schemas.microsoft.com/office/spreadsheetml/2009/9/main" objectType="CheckBox" fmlaLink="$G$49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1187" name="Check Box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44</xdr:row>
          <xdr:rowOff>142875</xdr:rowOff>
        </xdr:from>
        <xdr:to>
          <xdr:col>4</xdr:col>
          <xdr:colOff>9525</xdr:colOff>
          <xdr:row>48</xdr:row>
          <xdr:rowOff>28575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64</xdr:row>
          <xdr:rowOff>19050</xdr:rowOff>
        </xdr:from>
        <xdr:to>
          <xdr:col>3</xdr:col>
          <xdr:colOff>0</xdr:colOff>
          <xdr:row>65</xdr:row>
          <xdr:rowOff>38100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64</xdr:row>
          <xdr:rowOff>9525</xdr:rowOff>
        </xdr:from>
        <xdr:to>
          <xdr:col>5</xdr:col>
          <xdr:colOff>981075</xdr:colOff>
          <xdr:row>65</xdr:row>
          <xdr:rowOff>28575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66675</xdr:rowOff>
        </xdr:from>
        <xdr:to>
          <xdr:col>4</xdr:col>
          <xdr:colOff>123825</xdr:colOff>
          <xdr:row>64</xdr:row>
          <xdr:rowOff>9525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66675</xdr:rowOff>
        </xdr:from>
        <xdr:to>
          <xdr:col>5</xdr:col>
          <xdr:colOff>466725</xdr:colOff>
          <xdr:row>64</xdr:row>
          <xdr:rowOff>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28575</xdr:rowOff>
        </xdr:from>
        <xdr:to>
          <xdr:col>2</xdr:col>
          <xdr:colOff>542925</xdr:colOff>
          <xdr:row>55</xdr:row>
          <xdr:rowOff>0</xdr:rowOff>
        </xdr:to>
        <xdr:sp macro="" textlink="">
          <xdr:nvSpPr>
            <xdr:cNvPr id="8200" name="Option 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56</xdr:row>
          <xdr:rowOff>9525</xdr:rowOff>
        </xdr:from>
        <xdr:to>
          <xdr:col>3</xdr:col>
          <xdr:colOff>28575</xdr:colOff>
          <xdr:row>56</xdr:row>
          <xdr:rowOff>142875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53</xdr:row>
          <xdr:rowOff>19050</xdr:rowOff>
        </xdr:from>
        <xdr:to>
          <xdr:col>4</xdr:col>
          <xdr:colOff>114300</xdr:colOff>
          <xdr:row>58</xdr:row>
          <xdr:rowOff>9525</xdr:rowOff>
        </xdr:to>
        <xdr:sp macro="" textlink="">
          <xdr:nvSpPr>
            <xdr:cNvPr id="8202" name="Rechnungsausl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8205" name="Option 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62</xdr:row>
          <xdr:rowOff>28575</xdr:rowOff>
        </xdr:from>
        <xdr:to>
          <xdr:col>5</xdr:col>
          <xdr:colOff>1552575</xdr:colOff>
          <xdr:row>64</xdr:row>
          <xdr:rowOff>28575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8207" name="Versicherung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49</xdr:row>
          <xdr:rowOff>28575</xdr:rowOff>
        </xdr:from>
        <xdr:to>
          <xdr:col>2</xdr:col>
          <xdr:colOff>323850</xdr:colOff>
          <xdr:row>50</xdr:row>
          <xdr:rowOff>171450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0</xdr:rowOff>
        </xdr:from>
        <xdr:to>
          <xdr:col>2</xdr:col>
          <xdr:colOff>352425</xdr:colOff>
          <xdr:row>53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69</xdr:row>
          <xdr:rowOff>0</xdr:rowOff>
        </xdr:from>
        <xdr:to>
          <xdr:col>2</xdr:col>
          <xdr:colOff>571500</xdr:colOff>
          <xdr:row>70</xdr:row>
          <xdr:rowOff>28575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47</xdr:row>
          <xdr:rowOff>28575</xdr:rowOff>
        </xdr:from>
        <xdr:to>
          <xdr:col>2</xdr:col>
          <xdr:colOff>342900</xdr:colOff>
          <xdr:row>49</xdr:row>
          <xdr:rowOff>9525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24" Type="http://schemas.openxmlformats.org/officeDocument/2006/relationships/ctrlProp" Target="../ctrlProps/ctrlProp40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23" Type="http://schemas.openxmlformats.org/officeDocument/2006/relationships/ctrlProp" Target="../ctrlProps/ctrlProp39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3"/>
  <sheetViews>
    <sheetView showGridLines="0" topLeftCell="A40" zoomScale="110" zoomScaleNormal="110" workbookViewId="0">
      <selection activeCell="C37" sqref="C37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636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9246</v>
      </c>
      <c r="D4" s="64"/>
      <c r="E4" s="64"/>
      <c r="F4" s="65"/>
    </row>
    <row r="5" spans="1:7" s="15" customFormat="1" ht="12.75" customHeight="1" x14ac:dyDescent="0.2">
      <c r="A5" s="10" t="s">
        <v>618</v>
      </c>
      <c r="B5" s="10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668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669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239</v>
      </c>
      <c r="D8" s="61"/>
      <c r="E8" s="61"/>
      <c r="F8" s="61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638</v>
      </c>
      <c r="C10" s="48">
        <v>45017</v>
      </c>
      <c r="D10" s="54" t="s">
        <v>641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10" t="s">
        <v>646</v>
      </c>
      <c r="B14" s="10" t="s">
        <v>593</v>
      </c>
      <c r="C14" s="61" t="s">
        <v>275</v>
      </c>
      <c r="D14" s="61"/>
      <c r="E14" s="61"/>
      <c r="F14" s="61"/>
    </row>
    <row r="15" spans="1:7" ht="12.75" customHeight="1" x14ac:dyDescent="0.2">
      <c r="B15" s="10" t="s">
        <v>584</v>
      </c>
      <c r="C15" s="61" t="s">
        <v>670</v>
      </c>
      <c r="D15" s="61"/>
      <c r="E15" s="61"/>
      <c r="F15" s="61"/>
    </row>
    <row r="16" spans="1:7" ht="12.75" customHeight="1" x14ac:dyDescent="0.2">
      <c r="B16" s="10" t="s">
        <v>4</v>
      </c>
      <c r="C16" s="61" t="s">
        <v>657</v>
      </c>
      <c r="D16" s="61"/>
      <c r="E16" s="61"/>
      <c r="F16" s="61"/>
    </row>
    <row r="17" spans="1:7" ht="12.75" customHeight="1" x14ac:dyDescent="0.2">
      <c r="B17" s="10" t="s">
        <v>5</v>
      </c>
      <c r="C17" s="61"/>
      <c r="D17" s="61"/>
      <c r="E17" s="61"/>
      <c r="F17" s="61"/>
    </row>
    <row r="18" spans="1:7" ht="12.75" customHeight="1" x14ac:dyDescent="0.2">
      <c r="B18" s="10" t="s">
        <v>6</v>
      </c>
      <c r="C18" s="61" t="s">
        <v>658</v>
      </c>
      <c r="D18" s="61"/>
      <c r="E18" s="61"/>
      <c r="F18" s="61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645</v>
      </c>
      <c r="G20" s="20" t="b">
        <v>0</v>
      </c>
    </row>
    <row r="21" spans="1:7" ht="12.75" customHeight="1" x14ac:dyDescent="0.2">
      <c r="A21" s="10" t="s">
        <v>620</v>
      </c>
      <c r="B21" s="10" t="s">
        <v>593</v>
      </c>
      <c r="C21" s="61" t="s">
        <v>667</v>
      </c>
      <c r="D21" s="61"/>
      <c r="E21" s="61"/>
      <c r="F21" s="61"/>
    </row>
    <row r="22" spans="1:7" ht="12.75" customHeight="1" x14ac:dyDescent="0.2">
      <c r="B22" s="10" t="s">
        <v>627</v>
      </c>
      <c r="C22" s="61"/>
      <c r="D22" s="61"/>
      <c r="E22" s="61"/>
      <c r="F22" s="61"/>
    </row>
    <row r="23" spans="1:7" ht="12.75" customHeight="1" x14ac:dyDescent="0.2">
      <c r="B23" s="10" t="s">
        <v>4</v>
      </c>
      <c r="C23" s="61" t="s">
        <v>659</v>
      </c>
      <c r="D23" s="61"/>
      <c r="E23" s="61"/>
      <c r="F23" s="61"/>
    </row>
    <row r="24" spans="1:7" ht="12.75" customHeight="1" x14ac:dyDescent="0.2">
      <c r="B24" s="10" t="s">
        <v>5</v>
      </c>
      <c r="C24" s="61"/>
      <c r="D24" s="61"/>
      <c r="E24" s="61"/>
      <c r="F24" s="61"/>
    </row>
    <row r="25" spans="1:7" ht="12.75" customHeight="1" x14ac:dyDescent="0.2">
      <c r="B25" s="10" t="s">
        <v>6</v>
      </c>
      <c r="C25" s="61" t="s">
        <v>660</v>
      </c>
      <c r="D25" s="61"/>
      <c r="E25" s="61"/>
      <c r="F25" s="61"/>
    </row>
    <row r="26" spans="1:7" s="38" customFormat="1" ht="3.95" customHeight="1" x14ac:dyDescent="0.2">
      <c r="C26" s="42"/>
      <c r="D26" s="42"/>
      <c r="E26" s="42"/>
      <c r="G26" s="44"/>
    </row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730</v>
      </c>
      <c r="D29"/>
      <c r="E29" s="69" t="s">
        <v>671</v>
      </c>
      <c r="F29" s="69"/>
    </row>
    <row r="30" spans="1:7" s="19" customFormat="1" ht="3.95" customHeight="1" x14ac:dyDescent="0.2">
      <c r="D30" s="43"/>
      <c r="E30" s="43"/>
      <c r="G30" s="29"/>
    </row>
    <row r="31" spans="1:7" ht="12.75" customHeight="1" x14ac:dyDescent="0.2">
      <c r="A31" s="10" t="s">
        <v>619</v>
      </c>
      <c r="C31" s="61" t="s">
        <v>666</v>
      </c>
      <c r="D31" s="61"/>
      <c r="E31" s="61"/>
      <c r="F31" s="61"/>
    </row>
    <row r="32" spans="1:7" s="36" customFormat="1" ht="3.95" customHeight="1" x14ac:dyDescent="0.2">
      <c r="D32" s="43"/>
      <c r="E32" s="43"/>
      <c r="G32" s="37"/>
    </row>
    <row r="33" spans="1:7" ht="12.75" customHeight="1" x14ac:dyDescent="0.2">
      <c r="A33" s="10" t="s">
        <v>10</v>
      </c>
      <c r="C33" s="61" t="s">
        <v>662</v>
      </c>
      <c r="D33" s="61"/>
      <c r="E33" s="61"/>
      <c r="F33" s="61"/>
    </row>
    <row r="34" spans="1:7" s="19" customFormat="1" ht="3.95" customHeight="1" x14ac:dyDescent="0.2">
      <c r="D34" s="43"/>
      <c r="E34" s="43"/>
      <c r="G34" s="29"/>
    </row>
    <row r="35" spans="1:7" ht="12.75" customHeight="1" x14ac:dyDescent="0.2">
      <c r="A35" s="10" t="s">
        <v>11</v>
      </c>
      <c r="C35" s="61" t="s">
        <v>663</v>
      </c>
      <c r="D35" s="61"/>
      <c r="E35" s="61"/>
      <c r="F35" s="61"/>
    </row>
    <row r="36" spans="1:7" ht="3.95" customHeight="1" x14ac:dyDescent="0.2"/>
    <row r="37" spans="1:7" s="19" customFormat="1" ht="12.75" customHeight="1" x14ac:dyDescent="0.2">
      <c r="A37" s="35" t="s">
        <v>640</v>
      </c>
      <c r="B37" s="10"/>
      <c r="C37" s="48">
        <v>41397</v>
      </c>
      <c r="D37" s="54" t="s">
        <v>641</v>
      </c>
      <c r="E37" s="62" t="s">
        <v>664</v>
      </c>
      <c r="F37" s="62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635</v>
      </c>
      <c r="C39" s="61" t="s">
        <v>670</v>
      </c>
      <c r="D39" s="61"/>
      <c r="E39" s="61"/>
      <c r="F39" s="61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">
      <c r="A41" s="10" t="s">
        <v>3</v>
      </c>
      <c r="G41" s="20">
        <v>1</v>
      </c>
    </row>
    <row r="42" spans="1:7" s="38" customFormat="1" ht="3.95" customHeight="1" x14ac:dyDescent="0.2">
      <c r="C42" s="42"/>
      <c r="D42" s="42"/>
      <c r="E42" s="42"/>
      <c r="G42" s="44"/>
    </row>
    <row r="43" spans="1:7" ht="12.75" customHeight="1" x14ac:dyDescent="0.2">
      <c r="A43" s="10" t="s">
        <v>630</v>
      </c>
      <c r="F43" s="50"/>
      <c r="G43" s="20" t="b">
        <v>0</v>
      </c>
    </row>
    <row r="44" spans="1:7" s="38" customFormat="1" ht="3.95" customHeight="1" x14ac:dyDescent="0.2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">
      <c r="C46" s="42"/>
      <c r="D46" s="42"/>
      <c r="E46" s="42"/>
      <c r="G46" s="44"/>
    </row>
    <row r="47" spans="1:7" s="38" customFormat="1" ht="12.75" customHeight="1" x14ac:dyDescent="0.2">
      <c r="A47" s="38" t="s">
        <v>647</v>
      </c>
      <c r="C47" s="42"/>
      <c r="D47" s="42"/>
      <c r="E47" s="42"/>
      <c r="G47" s="44"/>
    </row>
    <row r="48" spans="1:7" s="38" customFormat="1" ht="3.95" customHeight="1" x14ac:dyDescent="0.2">
      <c r="C48" s="42"/>
      <c r="D48" s="42"/>
      <c r="E48" s="42"/>
      <c r="G48" s="44"/>
    </row>
    <row r="49" spans="1:7" ht="12.75" customHeight="1" x14ac:dyDescent="0.2">
      <c r="A49" s="10" t="s">
        <v>596</v>
      </c>
      <c r="F49" s="50"/>
      <c r="G49" s="20" t="b">
        <v>0</v>
      </c>
    </row>
    <row r="50" spans="1:7" s="38" customFormat="1" ht="3.95" customHeight="1" x14ac:dyDescent="0.2">
      <c r="C50" s="42"/>
      <c r="D50" s="42"/>
      <c r="E50" s="42"/>
      <c r="G50" s="44"/>
    </row>
    <row r="51" spans="1:7" ht="24" customHeight="1" x14ac:dyDescent="0.2">
      <c r="A51" s="67" t="s">
        <v>642</v>
      </c>
      <c r="B51" s="67"/>
      <c r="G51" s="20">
        <v>10</v>
      </c>
    </row>
    <row r="52" spans="1:7" s="38" customFormat="1" ht="3.95" customHeight="1" x14ac:dyDescent="0.2">
      <c r="C52" s="42"/>
      <c r="D52" s="42"/>
      <c r="E52" s="42"/>
      <c r="G52" s="44"/>
    </row>
    <row r="53" spans="1:7" ht="12.75" customHeight="1" x14ac:dyDescent="0.2">
      <c r="A53" s="10" t="s">
        <v>629</v>
      </c>
      <c r="C53" s="10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19" customFormat="1" ht="12.75" customHeight="1" x14ac:dyDescent="0.2">
      <c r="A55" s="10" t="s">
        <v>2</v>
      </c>
      <c r="E55" s="61"/>
      <c r="F55" s="61"/>
      <c r="G55" s="29">
        <v>2</v>
      </c>
    </row>
    <row r="56" spans="1:7" s="19" customFormat="1" ht="3.95" customHeight="1" x14ac:dyDescent="0.2">
      <c r="D56" s="43"/>
      <c r="E56" s="43"/>
      <c r="G56" s="29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10" t="s">
        <v>595</v>
      </c>
      <c r="C59" s="59"/>
      <c r="D59"/>
      <c r="E59"/>
    </row>
    <row r="60" spans="1:7" s="38" customFormat="1" ht="3.95" customHeight="1" x14ac:dyDescent="0.2">
      <c r="C60" s="42"/>
      <c r="D60" s="42"/>
      <c r="E60" s="42"/>
      <c r="G60" s="44"/>
    </row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s="38" customFormat="1" ht="3.95" customHeight="1" x14ac:dyDescent="0.2">
      <c r="C62" s="42"/>
      <c r="D62" s="42"/>
      <c r="E62" s="42"/>
      <c r="G62" s="44"/>
    </row>
    <row r="63" spans="1:7" s="38" customFormat="1" x14ac:dyDescent="0.2">
      <c r="A63" s="38" t="s">
        <v>15</v>
      </c>
      <c r="G63" s="44">
        <v>1</v>
      </c>
    </row>
    <row r="64" spans="1:7" s="38" customFormat="1" ht="3.95" customHeight="1" x14ac:dyDescent="0.2">
      <c r="C64" s="42"/>
      <c r="D64" s="42"/>
      <c r="E64" s="42"/>
      <c r="G64" s="44"/>
    </row>
    <row r="65" spans="1:7" x14ac:dyDescent="0.2">
      <c r="A65" s="10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10" t="s">
        <v>16</v>
      </c>
      <c r="C67" s="61" t="s">
        <v>665</v>
      </c>
      <c r="D67" s="61"/>
      <c r="E67" s="61"/>
      <c r="F67" s="61"/>
    </row>
    <row r="68" spans="1:7" x14ac:dyDescent="0.2">
      <c r="A68" s="10" t="s">
        <v>17</v>
      </c>
      <c r="C68" s="66" t="s">
        <v>598</v>
      </c>
      <c r="D68" s="66"/>
      <c r="E68" s="66"/>
      <c r="F68" s="66"/>
    </row>
    <row r="69" spans="1:7" s="38" customFormat="1" ht="3.95" customHeight="1" x14ac:dyDescent="0.2">
      <c r="C69" s="42"/>
      <c r="D69" s="42"/>
      <c r="E69" s="42"/>
      <c r="G69" s="44"/>
    </row>
    <row r="70" spans="1:7" ht="12.6" customHeight="1" x14ac:dyDescent="0.2">
      <c r="A70" s="47" t="s">
        <v>637</v>
      </c>
      <c r="C70" s="42"/>
      <c r="E70" s="68"/>
      <c r="F70" s="68"/>
      <c r="G70" s="20">
        <v>1</v>
      </c>
    </row>
    <row r="71" spans="1:7" s="38" customFormat="1" x14ac:dyDescent="0.2">
      <c r="C71" s="42"/>
      <c r="D71" s="42"/>
      <c r="E71" s="42"/>
      <c r="G71" s="44"/>
    </row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s="38" customFormat="1" ht="3.95" hidden="1" customHeight="1" x14ac:dyDescent="0.2">
      <c r="C73" s="42"/>
      <c r="D73" s="42"/>
      <c r="E73" s="42"/>
      <c r="G73" s="44"/>
    </row>
    <row r="74" spans="1:7" hidden="1" x14ac:dyDescent="0.2">
      <c r="A74" s="10" t="s">
        <v>597</v>
      </c>
      <c r="B74" s="10" t="s">
        <v>12</v>
      </c>
      <c r="C74" s="21"/>
      <c r="D74"/>
      <c r="E74" s="10" t="s">
        <v>604</v>
      </c>
    </row>
    <row r="75" spans="1:7" ht="13.9" hidden="1" customHeight="1" x14ac:dyDescent="0.2">
      <c r="B75" s="10" t="s">
        <v>13</v>
      </c>
      <c r="C75" s="21"/>
      <c r="D75"/>
      <c r="E75" s="10" t="s">
        <v>605</v>
      </c>
    </row>
    <row r="76" spans="1:7" hidden="1" x14ac:dyDescent="0.2">
      <c r="B76" s="10" t="s">
        <v>14</v>
      </c>
      <c r="C76" s="21"/>
      <c r="D76"/>
      <c r="E76" s="10" t="s">
        <v>604</v>
      </c>
    </row>
    <row r="77" spans="1:7" s="19" customFormat="1" ht="3.95" customHeight="1" x14ac:dyDescent="0.2">
      <c r="D77" s="43"/>
      <c r="E77" s="43"/>
      <c r="G77" s="29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A51:B51"/>
    <mergeCell ref="E55:F55"/>
    <mergeCell ref="E70:F70"/>
    <mergeCell ref="C7:F7"/>
    <mergeCell ref="E29:F29"/>
    <mergeCell ref="C16:F16"/>
    <mergeCell ref="C18:F18"/>
    <mergeCell ref="C22:F22"/>
    <mergeCell ref="C21:F21"/>
    <mergeCell ref="C23:F23"/>
    <mergeCell ref="C67:F67"/>
    <mergeCell ref="C68:F68"/>
    <mergeCell ref="C24:F24"/>
    <mergeCell ref="C33:F33"/>
    <mergeCell ref="C31:F31"/>
    <mergeCell ref="C35:F35"/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</mergeCells>
  <conditionalFormatting sqref="B22:F25 B21">
    <cfRule type="expression" dxfId="7" priority="8">
      <formula>$G$20=TRUE</formula>
    </cfRule>
  </conditionalFormatting>
  <conditionalFormatting sqref="A21:A22">
    <cfRule type="expression" dxfId="6" priority="4">
      <formula>$G$20=TRUE</formula>
    </cfRule>
  </conditionalFormatting>
  <conditionalFormatting sqref="F45">
    <cfRule type="expression" dxfId="5" priority="2">
      <formula>$G$45=TRUE</formula>
    </cfRule>
  </conditionalFormatting>
  <conditionalFormatting sqref="C45">
    <cfRule type="expression" dxfId="4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8:F68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5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4" name="Check Box 163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G183"/>
  <sheetViews>
    <sheetView showGridLines="0" tabSelected="1" topLeftCell="A7" zoomScale="110" zoomScaleNormal="110" workbookViewId="0">
      <selection activeCell="C12" sqref="C12"/>
    </sheetView>
  </sheetViews>
  <sheetFormatPr baseColWidth="10" defaultColWidth="0" defaultRowHeight="12.75" customHeight="1" zeroHeight="1" x14ac:dyDescent="0.2"/>
  <cols>
    <col min="1" max="1" width="19.5703125" style="38" customWidth="1"/>
    <col min="2" max="2" width="18" style="38" customWidth="1"/>
    <col min="3" max="3" width="11.42578125" style="42" customWidth="1"/>
    <col min="4" max="4" width="1.7109375" style="42" customWidth="1"/>
    <col min="5" max="5" width="11.42578125" style="42" customWidth="1"/>
    <col min="6" max="6" width="25.28515625" style="38" customWidth="1"/>
    <col min="7" max="7" width="11.42578125" style="44" hidden="1" customWidth="1"/>
    <col min="8" max="16384" width="11.42578125" style="38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41" customFormat="1" ht="15" customHeight="1" x14ac:dyDescent="0.25">
      <c r="A2" s="39" t="s">
        <v>636</v>
      </c>
      <c r="B2" s="39"/>
      <c r="C2" s="40"/>
      <c r="D2" s="40"/>
      <c r="E2" s="40"/>
      <c r="F2" s="39"/>
      <c r="G2" s="45"/>
    </row>
    <row r="3" spans="1:7" s="15" customFormat="1" ht="32.25" customHeight="1" x14ac:dyDescent="0.2">
      <c r="A3" s="14" t="s">
        <v>606</v>
      </c>
      <c r="B3" s="14"/>
      <c r="C3" s="63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BS.N.09246.ASTRA F3, N02, EP Sissach-Eptingen, Kanton BL</v>
      </c>
      <c r="D3" s="63"/>
      <c r="E3" s="63"/>
      <c r="F3" s="63"/>
      <c r="G3" s="28"/>
    </row>
    <row r="4" spans="1:7" ht="12.75" customHeight="1" x14ac:dyDescent="0.2">
      <c r="A4" s="16" t="s">
        <v>603</v>
      </c>
      <c r="B4" s="16"/>
      <c r="C4" s="64">
        <v>9246</v>
      </c>
      <c r="D4" s="64"/>
      <c r="E4" s="64"/>
      <c r="F4" s="65"/>
    </row>
    <row r="5" spans="1:7" s="15" customFormat="1" ht="12.75" customHeight="1" x14ac:dyDescent="0.2">
      <c r="A5" s="38" t="s">
        <v>618</v>
      </c>
      <c r="B5" s="38"/>
      <c r="C5" s="66" t="s">
        <v>655</v>
      </c>
      <c r="D5" s="66"/>
      <c r="E5" s="66"/>
      <c r="F5" s="66"/>
      <c r="G5" s="28"/>
    </row>
    <row r="6" spans="1:7" ht="12.75" customHeight="1" x14ac:dyDescent="0.2">
      <c r="A6" s="16" t="s">
        <v>8</v>
      </c>
      <c r="B6" s="16"/>
      <c r="C6" s="66" t="s">
        <v>668</v>
      </c>
      <c r="D6" s="66"/>
      <c r="E6" s="66"/>
      <c r="F6" s="66"/>
    </row>
    <row r="7" spans="1:7" s="15" customFormat="1" ht="12.75" customHeight="1" x14ac:dyDescent="0.2">
      <c r="A7" s="16" t="s">
        <v>631</v>
      </c>
      <c r="B7" s="31" t="s">
        <v>626</v>
      </c>
      <c r="C7" s="61" t="s">
        <v>669</v>
      </c>
      <c r="D7" s="61"/>
      <c r="E7" s="61"/>
      <c r="F7" s="61"/>
      <c r="G7" s="28"/>
    </row>
    <row r="8" spans="1:7" ht="12.75" customHeight="1" x14ac:dyDescent="0.2">
      <c r="A8" s="16" t="s">
        <v>7</v>
      </c>
      <c r="B8" s="16"/>
      <c r="C8" s="61" t="s">
        <v>239</v>
      </c>
      <c r="D8" s="61"/>
      <c r="E8" s="61"/>
      <c r="F8" s="61"/>
    </row>
    <row r="9" spans="1:7" ht="3.95" customHeight="1" x14ac:dyDescent="0.2"/>
    <row r="10" spans="1:7" ht="12.75" customHeight="1" x14ac:dyDescent="0.2">
      <c r="A10" s="38" t="s">
        <v>638</v>
      </c>
      <c r="C10" s="48">
        <v>45017</v>
      </c>
      <c r="D10" s="54" t="s">
        <v>641</v>
      </c>
      <c r="E10" s="48">
        <v>46022</v>
      </c>
    </row>
    <row r="11" spans="1:7" s="43" customFormat="1" ht="3.95" customHeight="1" x14ac:dyDescent="0.2">
      <c r="D11" s="6"/>
      <c r="G11" s="46"/>
    </row>
    <row r="12" spans="1:7" ht="12.75" customHeight="1" x14ac:dyDescent="0.2">
      <c r="A12" s="38" t="s">
        <v>639</v>
      </c>
      <c r="C12" s="49" t="s">
        <v>656</v>
      </c>
      <c r="D12" s="54" t="s">
        <v>641</v>
      </c>
      <c r="E12" s="49" t="s">
        <v>661</v>
      </c>
    </row>
    <row r="13" spans="1:7" ht="3.95" customHeight="1" x14ac:dyDescent="0.2"/>
    <row r="14" spans="1:7" ht="12.75" customHeight="1" x14ac:dyDescent="0.2">
      <c r="A14" s="38" t="s">
        <v>646</v>
      </c>
      <c r="B14" s="38" t="s">
        <v>593</v>
      </c>
      <c r="C14" s="61" t="s">
        <v>275</v>
      </c>
      <c r="D14" s="61"/>
      <c r="E14" s="61"/>
      <c r="F14" s="61"/>
    </row>
    <row r="15" spans="1:7" ht="12.75" customHeight="1" x14ac:dyDescent="0.2">
      <c r="B15" s="38" t="s">
        <v>584</v>
      </c>
      <c r="C15" s="61" t="s">
        <v>670</v>
      </c>
      <c r="D15" s="61"/>
      <c r="E15" s="61"/>
      <c r="F15" s="61"/>
    </row>
    <row r="16" spans="1:7" ht="12.75" customHeight="1" x14ac:dyDescent="0.2">
      <c r="B16" s="38" t="s">
        <v>4</v>
      </c>
      <c r="C16" s="61" t="s">
        <v>657</v>
      </c>
      <c r="D16" s="61"/>
      <c r="E16" s="61"/>
      <c r="F16" s="61"/>
    </row>
    <row r="17" spans="1:7" ht="12.75" customHeight="1" x14ac:dyDescent="0.2">
      <c r="B17" s="38" t="s">
        <v>5</v>
      </c>
      <c r="C17" s="61"/>
      <c r="D17" s="61"/>
      <c r="E17" s="61"/>
      <c r="F17" s="61"/>
    </row>
    <row r="18" spans="1:7" ht="12.75" customHeight="1" x14ac:dyDescent="0.2">
      <c r="B18" s="38" t="s">
        <v>6</v>
      </c>
      <c r="C18" s="61" t="s">
        <v>658</v>
      </c>
      <c r="D18" s="61"/>
      <c r="E18" s="61"/>
      <c r="F18" s="61"/>
    </row>
    <row r="19" spans="1:7" s="43" customFormat="1" ht="3.95" customHeight="1" x14ac:dyDescent="0.2">
      <c r="G19" s="46"/>
    </row>
    <row r="20" spans="1:7" x14ac:dyDescent="0.2">
      <c r="A20" s="38" t="s">
        <v>645</v>
      </c>
      <c r="G20" s="44" t="b">
        <v>0</v>
      </c>
    </row>
    <row r="21" spans="1:7" ht="12.75" customHeight="1" x14ac:dyDescent="0.2">
      <c r="A21" s="38" t="s">
        <v>620</v>
      </c>
      <c r="B21" s="38" t="s">
        <v>593</v>
      </c>
      <c r="C21" s="61" t="s">
        <v>667</v>
      </c>
      <c r="D21" s="61"/>
      <c r="E21" s="61"/>
      <c r="F21" s="61"/>
    </row>
    <row r="22" spans="1:7" ht="12.75" customHeight="1" x14ac:dyDescent="0.2">
      <c r="B22" s="38" t="s">
        <v>627</v>
      </c>
      <c r="C22" s="61"/>
      <c r="D22" s="61"/>
      <c r="E22" s="61"/>
      <c r="F22" s="61"/>
    </row>
    <row r="23" spans="1:7" ht="12.75" customHeight="1" x14ac:dyDescent="0.2">
      <c r="B23" s="38" t="s">
        <v>4</v>
      </c>
      <c r="C23" s="61" t="s">
        <v>659</v>
      </c>
      <c r="D23" s="61"/>
      <c r="E23" s="61"/>
      <c r="F23" s="61"/>
    </row>
    <row r="24" spans="1:7" ht="12.75" customHeight="1" x14ac:dyDescent="0.2">
      <c r="B24" s="38" t="s">
        <v>5</v>
      </c>
      <c r="C24" s="61"/>
      <c r="D24" s="61"/>
      <c r="E24" s="61"/>
      <c r="F24" s="61"/>
    </row>
    <row r="25" spans="1:7" ht="12.75" customHeight="1" x14ac:dyDescent="0.2">
      <c r="B25" s="38" t="s">
        <v>6</v>
      </c>
      <c r="C25" s="61" t="s">
        <v>660</v>
      </c>
      <c r="D25" s="61"/>
      <c r="E25" s="61"/>
      <c r="F25" s="61"/>
    </row>
    <row r="26" spans="1:7" ht="3.95" customHeight="1" x14ac:dyDescent="0.2"/>
    <row r="27" spans="1:7" s="41" customFormat="1" ht="15" customHeight="1" x14ac:dyDescent="0.25">
      <c r="A27" s="39" t="s">
        <v>632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">
      <c r="G28" s="46"/>
    </row>
    <row r="29" spans="1:7" ht="12.75" customHeight="1" x14ac:dyDescent="0.2">
      <c r="A29" s="17" t="s">
        <v>607</v>
      </c>
      <c r="B29" s="17"/>
      <c r="C29" s="60">
        <v>740</v>
      </c>
      <c r="D29" s="6"/>
      <c r="E29" s="69" t="s">
        <v>672</v>
      </c>
      <c r="F29" s="69"/>
    </row>
    <row r="30" spans="1:7" s="43" customFormat="1" ht="3.95" customHeight="1" x14ac:dyDescent="0.2">
      <c r="G30" s="46"/>
    </row>
    <row r="31" spans="1:7" ht="12.75" customHeight="1" x14ac:dyDescent="0.2">
      <c r="A31" s="38" t="s">
        <v>619</v>
      </c>
      <c r="C31" s="61" t="s">
        <v>666</v>
      </c>
      <c r="D31" s="61"/>
      <c r="E31" s="61"/>
      <c r="F31" s="61"/>
    </row>
    <row r="32" spans="1:7" s="43" customFormat="1" ht="3.95" customHeight="1" x14ac:dyDescent="0.2">
      <c r="G32" s="46"/>
    </row>
    <row r="33" spans="1:7" ht="12.75" customHeight="1" x14ac:dyDescent="0.2">
      <c r="A33" s="38" t="s">
        <v>10</v>
      </c>
      <c r="C33" s="61" t="s">
        <v>662</v>
      </c>
      <c r="D33" s="61"/>
      <c r="E33" s="61"/>
      <c r="F33" s="61"/>
    </row>
    <row r="34" spans="1:7" s="43" customFormat="1" ht="3.95" customHeight="1" x14ac:dyDescent="0.2">
      <c r="G34" s="46"/>
    </row>
    <row r="35" spans="1:7" ht="12.75" customHeight="1" x14ac:dyDescent="0.2">
      <c r="A35" s="38" t="s">
        <v>11</v>
      </c>
      <c r="C35" s="61" t="s">
        <v>663</v>
      </c>
      <c r="D35" s="61"/>
      <c r="E35" s="61"/>
      <c r="F35" s="61"/>
    </row>
    <row r="36" spans="1:7" ht="3.95" customHeight="1" x14ac:dyDescent="0.2"/>
    <row r="37" spans="1:7" s="43" customFormat="1" ht="12.75" customHeight="1" x14ac:dyDescent="0.2">
      <c r="A37" s="38" t="s">
        <v>640</v>
      </c>
      <c r="B37" s="38"/>
      <c r="C37" s="48">
        <v>41397</v>
      </c>
      <c r="D37" s="54" t="s">
        <v>641</v>
      </c>
      <c r="E37" s="62" t="s">
        <v>664</v>
      </c>
      <c r="F37" s="62"/>
      <c r="G37" s="46"/>
    </row>
    <row r="38" spans="1:7" ht="3.95" customHeight="1" x14ac:dyDescent="0.2"/>
    <row r="39" spans="1:7" ht="12.75" customHeight="1" x14ac:dyDescent="0.2">
      <c r="A39" s="38" t="s">
        <v>635</v>
      </c>
      <c r="C39" s="61" t="s">
        <v>670</v>
      </c>
      <c r="D39" s="61"/>
      <c r="E39" s="61"/>
      <c r="F39" s="61"/>
    </row>
    <row r="40" spans="1:7" ht="3.95" customHeight="1" x14ac:dyDescent="0.2"/>
    <row r="41" spans="1:7" ht="12.75" customHeight="1" x14ac:dyDescent="0.2">
      <c r="A41" s="38" t="s">
        <v>3</v>
      </c>
      <c r="G41" s="44">
        <v>1</v>
      </c>
    </row>
    <row r="42" spans="1:7" ht="3.95" customHeight="1" x14ac:dyDescent="0.2"/>
    <row r="43" spans="1:7" ht="12.75" customHeight="1" x14ac:dyDescent="0.2">
      <c r="A43" s="38" t="s">
        <v>630</v>
      </c>
      <c r="F43" s="50"/>
      <c r="G43" s="44" t="b">
        <v>0</v>
      </c>
    </row>
    <row r="44" spans="1:7" ht="3.95" customHeight="1" x14ac:dyDescent="0.2"/>
    <row r="45" spans="1:7" ht="12.75" customHeight="1" x14ac:dyDescent="0.2">
      <c r="A45" s="38" t="s">
        <v>0</v>
      </c>
      <c r="C45" s="53" t="s">
        <v>1</v>
      </c>
      <c r="F45" s="46"/>
      <c r="G45" s="44" t="b">
        <v>0</v>
      </c>
    </row>
    <row r="46" spans="1:7" ht="3.95" customHeight="1" x14ac:dyDescent="0.2"/>
    <row r="47" spans="1:7" ht="12.75" customHeight="1" x14ac:dyDescent="0.2">
      <c r="A47" s="38" t="s">
        <v>647</v>
      </c>
    </row>
    <row r="48" spans="1:7" ht="3.95" customHeight="1" x14ac:dyDescent="0.2"/>
    <row r="49" spans="1:7" ht="12.75" customHeight="1" x14ac:dyDescent="0.2">
      <c r="A49" s="38" t="s">
        <v>596</v>
      </c>
      <c r="F49" s="50"/>
      <c r="G49" s="44" t="b">
        <v>0</v>
      </c>
    </row>
    <row r="50" spans="1:7" ht="3.95" customHeight="1" x14ac:dyDescent="0.2"/>
    <row r="51" spans="1:7" ht="24" customHeight="1" x14ac:dyDescent="0.2">
      <c r="A51" s="67" t="s">
        <v>642</v>
      </c>
      <c r="B51" s="67"/>
      <c r="G51" s="44">
        <v>10</v>
      </c>
    </row>
    <row r="52" spans="1:7" ht="3.95" customHeight="1" x14ac:dyDescent="0.2"/>
    <row r="53" spans="1:7" ht="12.75" customHeight="1" x14ac:dyDescent="0.2">
      <c r="A53" s="38" t="s">
        <v>629</v>
      </c>
      <c r="C53" s="38"/>
      <c r="D53" s="38"/>
      <c r="E53" s="38"/>
    </row>
    <row r="54" spans="1:7" ht="3.95" customHeight="1" x14ac:dyDescent="0.2">
      <c r="B54" s="3"/>
      <c r="C54" s="25"/>
      <c r="D54" s="25"/>
      <c r="E54" s="25"/>
      <c r="F54" s="25"/>
    </row>
    <row r="55" spans="1:7" s="43" customFormat="1" ht="12.75" customHeight="1" x14ac:dyDescent="0.2">
      <c r="A55" s="38" t="s">
        <v>2</v>
      </c>
      <c r="E55" s="61"/>
      <c r="F55" s="61"/>
      <c r="G55" s="46">
        <v>2</v>
      </c>
    </row>
    <row r="56" spans="1:7" s="43" customFormat="1" ht="3.95" customHeight="1" x14ac:dyDescent="0.2">
      <c r="G56" s="46"/>
    </row>
    <row r="57" spans="1:7" ht="12.75" customHeight="1" x14ac:dyDescent="0.2"/>
    <row r="58" spans="1:7" s="43" customFormat="1" ht="3.95" customHeight="1" x14ac:dyDescent="0.2">
      <c r="G58" s="46"/>
    </row>
    <row r="59" spans="1:7" ht="12.75" customHeight="1" x14ac:dyDescent="0.2">
      <c r="A59" s="38" t="s">
        <v>595</v>
      </c>
      <c r="C59" s="59"/>
      <c r="D59" s="6"/>
      <c r="E59" s="6"/>
    </row>
    <row r="60" spans="1:7" ht="3.95" customHeight="1" x14ac:dyDescent="0.2"/>
    <row r="61" spans="1:7" s="41" customFormat="1" ht="15" customHeight="1" x14ac:dyDescent="0.25">
      <c r="A61" s="39" t="s">
        <v>634</v>
      </c>
      <c r="B61" s="39"/>
      <c r="C61" s="40"/>
      <c r="D61" s="40"/>
      <c r="E61" s="40"/>
      <c r="F61" s="39"/>
      <c r="G61" s="45"/>
    </row>
    <row r="62" spans="1:7" ht="3.95" customHeight="1" x14ac:dyDescent="0.2"/>
    <row r="63" spans="1:7" x14ac:dyDescent="0.2">
      <c r="A63" s="38" t="s">
        <v>15</v>
      </c>
      <c r="C63" s="38"/>
      <c r="D63" s="38"/>
      <c r="E63" s="38"/>
      <c r="G63" s="44">
        <v>1</v>
      </c>
    </row>
    <row r="64" spans="1:7" ht="3.95" customHeight="1" x14ac:dyDescent="0.2"/>
    <row r="65" spans="1:7" x14ac:dyDescent="0.2">
      <c r="A65" s="38" t="s">
        <v>617</v>
      </c>
      <c r="B65" s="3"/>
      <c r="C65" s="23"/>
      <c r="D65" s="23"/>
      <c r="E65" s="23"/>
      <c r="F65" s="24"/>
    </row>
    <row r="66" spans="1:7" ht="3.95" customHeight="1" x14ac:dyDescent="0.2"/>
    <row r="67" spans="1:7" x14ac:dyDescent="0.2">
      <c r="A67" s="38" t="s">
        <v>16</v>
      </c>
      <c r="C67" s="61" t="s">
        <v>665</v>
      </c>
      <c r="D67" s="61"/>
      <c r="E67" s="61"/>
      <c r="F67" s="61"/>
    </row>
    <row r="68" spans="1:7" x14ac:dyDescent="0.2">
      <c r="A68" s="38" t="s">
        <v>17</v>
      </c>
      <c r="C68" s="66" t="s">
        <v>598</v>
      </c>
      <c r="D68" s="66"/>
      <c r="E68" s="66"/>
      <c r="F68" s="66"/>
    </row>
    <row r="69" spans="1:7" ht="3.95" customHeight="1" x14ac:dyDescent="0.2"/>
    <row r="70" spans="1:7" ht="12.6" customHeight="1" x14ac:dyDescent="0.2">
      <c r="A70" s="47" t="s">
        <v>637</v>
      </c>
      <c r="E70" s="68"/>
      <c r="F70" s="68"/>
      <c r="G70" s="44">
        <v>1</v>
      </c>
    </row>
    <row r="71" spans="1:7" x14ac:dyDescent="0.2"/>
    <row r="72" spans="1:7" s="41" customFormat="1" ht="15" hidden="1" customHeight="1" x14ac:dyDescent="0.25">
      <c r="A72" s="39" t="s">
        <v>633</v>
      </c>
      <c r="B72" s="39"/>
      <c r="C72" s="40"/>
      <c r="D72" s="40"/>
      <c r="E72" s="40"/>
      <c r="F72" s="39"/>
      <c r="G72" s="45"/>
    </row>
    <row r="73" spans="1:7" ht="3.95" hidden="1" customHeight="1" x14ac:dyDescent="0.2"/>
    <row r="74" spans="1:7" hidden="1" x14ac:dyDescent="0.2">
      <c r="A74" s="38" t="s">
        <v>597</v>
      </c>
      <c r="B74" s="38" t="s">
        <v>12</v>
      </c>
      <c r="C74" s="21"/>
      <c r="D74" s="6"/>
      <c r="E74" s="38" t="s">
        <v>604</v>
      </c>
    </row>
    <row r="75" spans="1:7" ht="13.9" hidden="1" customHeight="1" x14ac:dyDescent="0.2">
      <c r="B75" s="38" t="s">
        <v>13</v>
      </c>
      <c r="C75" s="21"/>
      <c r="D75" s="6"/>
      <c r="E75" s="38" t="s">
        <v>605</v>
      </c>
    </row>
    <row r="76" spans="1:7" hidden="1" x14ac:dyDescent="0.2">
      <c r="B76" s="38" t="s">
        <v>14</v>
      </c>
      <c r="C76" s="21"/>
      <c r="D76" s="6"/>
      <c r="E76" s="38" t="s">
        <v>604</v>
      </c>
    </row>
    <row r="77" spans="1:7" s="43" customFormat="1" ht="3.95" customHeight="1" x14ac:dyDescent="0.2">
      <c r="G77" s="46"/>
    </row>
    <row r="78" spans="1:7" s="22" customFormat="1" ht="15" customHeight="1" x14ac:dyDescent="0.2">
      <c r="A78" s="26" t="s">
        <v>611</v>
      </c>
      <c r="G78" s="30"/>
    </row>
    <row r="79" spans="1:7" ht="3.95" customHeight="1" x14ac:dyDescent="0.2">
      <c r="A79" s="51"/>
      <c r="B79" s="51"/>
      <c r="C79" s="52"/>
      <c r="D79" s="52"/>
      <c r="E79" s="52"/>
      <c r="F79" s="51"/>
    </row>
    <row r="80" spans="1:7" x14ac:dyDescent="0.2">
      <c r="A80" s="57" t="s">
        <v>644</v>
      </c>
      <c r="B80" s="55"/>
      <c r="C80" s="56"/>
      <c r="D80" s="56"/>
      <c r="E80" s="56"/>
      <c r="F80" s="55"/>
    </row>
    <row r="81" spans="1:6" x14ac:dyDescent="0.2">
      <c r="A81" s="58" t="str">
        <f>IF($G49=FALSE,"",TEXT($C$4,"0000")&amp;TEXT($C$29,"000"))</f>
        <v/>
      </c>
      <c r="B81" s="55"/>
      <c r="C81" s="56"/>
      <c r="D81" s="56"/>
      <c r="E81" s="56"/>
      <c r="F81" s="55"/>
    </row>
    <row r="82" spans="1:6" x14ac:dyDescent="0.2">
      <c r="A82" s="57" t="s">
        <v>643</v>
      </c>
      <c r="B82" s="55"/>
      <c r="C82" s="56"/>
      <c r="D82" s="56"/>
      <c r="E82" s="56"/>
      <c r="F82" s="55"/>
    </row>
    <row r="83" spans="1:6" x14ac:dyDescent="0.2">
      <c r="A83" s="58" t="str">
        <f>IF($G49=FALSE,"",TEXT($C$6&amp;", "&amp;$C$7&amp;", "&amp;$E$29,))</f>
        <v/>
      </c>
      <c r="B83" s="55"/>
      <c r="C83" s="56"/>
      <c r="D83" s="56"/>
      <c r="E83" s="56"/>
      <c r="F83" s="55"/>
    </row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</sheetData>
  <sheetProtection algorithmName="SHA-512" hashValue="uzzdKhQB4DfOipffIdgY6jVbtnwgLzU+YpxQLWqY39c+ZSpcgmQnC1GIlLqqEnYGykWJg6Dl54KqIAL/6q90oA==" saltValue="wUbLe0qhYGlWm1pv0JodmA==" spinCount="100000" sheet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51:B51"/>
    <mergeCell ref="E55:F55"/>
    <mergeCell ref="C22:F22"/>
    <mergeCell ref="C23:F23"/>
    <mergeCell ref="C24:F24"/>
    <mergeCell ref="C25:F25"/>
    <mergeCell ref="E29:F29"/>
    <mergeCell ref="C31:F31"/>
    <mergeCell ref="C67:F67"/>
    <mergeCell ref="C68:F68"/>
    <mergeCell ref="E70:F70"/>
    <mergeCell ref="C33:F33"/>
    <mergeCell ref="C35:F35"/>
    <mergeCell ref="E37:F37"/>
    <mergeCell ref="C39:F39"/>
  </mergeCells>
  <conditionalFormatting sqref="B22:F25 B21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5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8:F68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orientation="portrait" r:id="rId1"/>
  <headerFooter>
    <oddHeader>&amp;R&amp;G</oddHeader>
    <oddFooter>&amp;R&amp;"Arial,Fett"&amp;9 324.135.FO / V 9.0 / &amp;"Arial,Standard"&amp;8Gültig ab: 01.04.2020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Check Box 2">
              <controlPr defaultSize="0" autoFill="0" autoLine="0" autoPict="0">
                <anchor moveWithCells="1">
                  <from>
                    <xdr:col>1</xdr:col>
                    <xdr:colOff>1200150</xdr:colOff>
                    <xdr:row>44</xdr:row>
                    <xdr:rowOff>142875</xdr:rowOff>
                  </from>
                  <to>
                    <xdr:col>4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Check Box 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Check Box 4">
              <controlPr defaultSize="0" autoFill="0" autoLine="0" autoPict="0">
                <anchor moveWithCells="1">
                  <from>
                    <xdr:col>1</xdr:col>
                    <xdr:colOff>1200150</xdr:colOff>
                    <xdr:row>64</xdr:row>
                    <xdr:rowOff>19050</xdr:rowOff>
                  </from>
                  <to>
                    <xdr:col>3</xdr:col>
                    <xdr:colOff>0</xdr:colOff>
                    <xdr:row>65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Check Box 5">
              <controlPr defaultSize="0" autoFill="0" autoLine="0" autoPict="0">
                <anchor moveWithCells="1">
                  <from>
                    <xdr:col>4</xdr:col>
                    <xdr:colOff>266700</xdr:colOff>
                    <xdr:row>64</xdr:row>
                    <xdr:rowOff>9525</xdr:rowOff>
                  </from>
                  <to>
                    <xdr:col>5</xdr:col>
                    <xdr:colOff>981075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66675</xdr:rowOff>
                  </from>
                  <to>
                    <xdr:col>4</xdr:col>
                    <xdr:colOff>123825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Option Button 7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66675</xdr:rowOff>
                  </from>
                  <to>
                    <xdr:col>5</xdr:col>
                    <xdr:colOff>466725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Option Button 8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28575</xdr:rowOff>
                  </from>
                  <to>
                    <xdr:col>2</xdr:col>
                    <xdr:colOff>542925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Option Button 9">
              <controlPr defaultSize="0" autoFill="0" autoLine="0" autoPict="0">
                <anchor moveWithCells="1">
                  <from>
                    <xdr:col>1</xdr:col>
                    <xdr:colOff>1200150</xdr:colOff>
                    <xdr:row>56</xdr:row>
                    <xdr:rowOff>9525</xdr:rowOff>
                  </from>
                  <to>
                    <xdr:col>3</xdr:col>
                    <xdr:colOff>28575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53</xdr:row>
                    <xdr:rowOff>19050</xdr:rowOff>
                  </from>
                  <to>
                    <xdr:col>4</xdr:col>
                    <xdr:colOff>114300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Option Button 11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6" name="Option Button 12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7" name="Option Button 13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8" name="Group Box 14">
              <controlPr defaultSize="0" autoFill="0" autoPict="0">
                <anchor moveWithCells="1">
                  <from>
                    <xdr:col>1</xdr:col>
                    <xdr:colOff>1152525</xdr:colOff>
                    <xdr:row>62</xdr:row>
                    <xdr:rowOff>28575</xdr:rowOff>
                  </from>
                  <to>
                    <xdr:col>5</xdr:col>
                    <xdr:colOff>1552575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0" name="Check Box 16">
              <controlPr defaultSize="0" autoFill="0" autoLine="0" autoPict="0">
                <anchor moveWithCells="1">
                  <from>
                    <xdr:col>1</xdr:col>
                    <xdr:colOff>1200150</xdr:colOff>
                    <xdr:row>49</xdr:row>
                    <xdr:rowOff>28575</xdr:rowOff>
                  </from>
                  <to>
                    <xdr:col>2</xdr:col>
                    <xdr:colOff>323850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1" name="Check Box 17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0</xdr:rowOff>
                  </from>
                  <to>
                    <xdr:col>2</xdr:col>
                    <xdr:colOff>352425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2" name="Check Box 18">
              <controlPr defaultSize="0" autoFill="0" autoLine="0" autoPict="0">
                <anchor moveWithCells="1">
                  <from>
                    <xdr:col>1</xdr:col>
                    <xdr:colOff>1200150</xdr:colOff>
                    <xdr:row>69</xdr:row>
                    <xdr:rowOff>0</xdr:rowOff>
                  </from>
                  <to>
                    <xdr:col>2</xdr:col>
                    <xdr:colOff>571500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3" name="Check Box 19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4" name="Check Box 20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47</xdr:row>
                    <xdr:rowOff>28575</xdr:rowOff>
                  </from>
                  <to>
                    <xdr:col>2</xdr:col>
                    <xdr:colOff>342900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594</v>
      </c>
    </row>
    <row r="2" spans="1:3" x14ac:dyDescent="0.2">
      <c r="A2" t="str">
        <f>B2&amp;C2</f>
        <v>CH.SCHWEIZ</v>
      </c>
      <c r="B2" t="s">
        <v>234</v>
      </c>
      <c r="C2" t="s">
        <v>235</v>
      </c>
    </row>
    <row r="3" spans="1:3" x14ac:dyDescent="0.2">
      <c r="A3" t="str">
        <f t="shared" ref="A3:A21" si="0">B3&amp;C3</f>
        <v>CH.01.Kanton BS</v>
      </c>
      <c r="B3" t="s">
        <v>236</v>
      </c>
      <c r="C3" t="s">
        <v>237</v>
      </c>
    </row>
    <row r="4" spans="1:3" x14ac:dyDescent="0.2">
      <c r="A4" t="str">
        <f t="shared" si="0"/>
        <v>CH.02.Kanton BL</v>
      </c>
      <c r="B4" t="s">
        <v>238</v>
      </c>
      <c r="C4" t="s">
        <v>239</v>
      </c>
    </row>
    <row r="5" spans="1:3" x14ac:dyDescent="0.2">
      <c r="A5" t="str">
        <f t="shared" si="0"/>
        <v>CH.03.Kanton AG</v>
      </c>
      <c r="B5" t="s">
        <v>240</v>
      </c>
      <c r="C5" t="s">
        <v>241</v>
      </c>
    </row>
    <row r="6" spans="1:3" x14ac:dyDescent="0.2">
      <c r="A6" t="str">
        <f t="shared" si="0"/>
        <v>CH.04.Kanton ZH</v>
      </c>
      <c r="B6" t="s">
        <v>242</v>
      </c>
      <c r="C6" t="s">
        <v>243</v>
      </c>
    </row>
    <row r="7" spans="1:3" x14ac:dyDescent="0.2">
      <c r="A7" t="str">
        <f t="shared" si="0"/>
        <v>CH.05.Kanton SO</v>
      </c>
      <c r="B7" t="s">
        <v>244</v>
      </c>
      <c r="C7" t="s">
        <v>245</v>
      </c>
    </row>
    <row r="8" spans="1:3" x14ac:dyDescent="0.2">
      <c r="A8" t="str">
        <f t="shared" si="0"/>
        <v>CH.06.Kanton LU</v>
      </c>
      <c r="B8" t="s">
        <v>246</v>
      </c>
      <c r="C8" t="s">
        <v>247</v>
      </c>
    </row>
    <row r="9" spans="1:3" x14ac:dyDescent="0.2">
      <c r="A9" t="str">
        <f t="shared" si="0"/>
        <v>CH.07.Kanton BE</v>
      </c>
      <c r="B9" t="s">
        <v>248</v>
      </c>
      <c r="C9" t="s">
        <v>249</v>
      </c>
    </row>
    <row r="10" spans="1:3" x14ac:dyDescent="0.2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x14ac:dyDescent="0.2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x14ac:dyDescent="0.2">
      <c r="A14" t="str">
        <f t="shared" si="0"/>
        <v>D.02.Landkreis Freiburg</v>
      </c>
      <c r="B14" t="s">
        <v>258</v>
      </c>
      <c r="C14" t="s">
        <v>259</v>
      </c>
    </row>
    <row r="15" spans="1:3" x14ac:dyDescent="0.2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x14ac:dyDescent="0.2">
      <c r="A17" t="str">
        <f t="shared" si="0"/>
        <v>F.FRANKREICH</v>
      </c>
      <c r="B17" t="s">
        <v>264</v>
      </c>
      <c r="C17" t="s">
        <v>265</v>
      </c>
    </row>
    <row r="18" spans="1:3" x14ac:dyDescent="0.2">
      <c r="A18" t="str">
        <f t="shared" si="0"/>
        <v>F.01.Dep. Bas Rhin</v>
      </c>
      <c r="B18" t="s">
        <v>266</v>
      </c>
      <c r="C18" t="s">
        <v>267</v>
      </c>
    </row>
    <row r="19" spans="1:3" x14ac:dyDescent="0.2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6"/>
  <sheetViews>
    <sheetView workbookViewId="0"/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594</v>
      </c>
    </row>
    <row r="2" spans="1:4" x14ac:dyDescent="0.2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x14ac:dyDescent="0.2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x14ac:dyDescent="0.2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x14ac:dyDescent="0.2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x14ac:dyDescent="0.2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x14ac:dyDescent="0.2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x14ac:dyDescent="0.2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x14ac:dyDescent="0.2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x14ac:dyDescent="0.2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x14ac:dyDescent="0.2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x14ac:dyDescent="0.2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x14ac:dyDescent="0.2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x14ac:dyDescent="0.2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x14ac:dyDescent="0.2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x14ac:dyDescent="0.2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x14ac:dyDescent="0.2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x14ac:dyDescent="0.2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x14ac:dyDescent="0.2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x14ac:dyDescent="0.2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x14ac:dyDescent="0.2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x14ac:dyDescent="0.2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x14ac:dyDescent="0.2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x14ac:dyDescent="0.2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6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s="6" customFormat="1" x14ac:dyDescent="0.2">
      <c r="A92" s="6" t="s">
        <v>648</v>
      </c>
      <c r="B92" s="1" t="s">
        <v>649</v>
      </c>
      <c r="C92" s="6" t="s">
        <v>653</v>
      </c>
      <c r="D92" s="6" t="s">
        <v>650</v>
      </c>
    </row>
    <row r="93" spans="1:4" s="6" customFormat="1" x14ac:dyDescent="0.2">
      <c r="A93" s="6" t="s">
        <v>651</v>
      </c>
      <c r="B93" s="1" t="s">
        <v>652</v>
      </c>
      <c r="C93" s="6" t="s">
        <v>654</v>
      </c>
      <c r="D93" s="6" t="s">
        <v>654</v>
      </c>
    </row>
    <row r="94" spans="1:4" x14ac:dyDescent="0.2">
      <c r="A94" t="str">
        <f t="shared" si="2"/>
        <v>5.8.7. Verwaltung HDI</v>
      </c>
      <c r="B94" s="1" t="s">
        <v>227</v>
      </c>
      <c r="C94" t="s">
        <v>228</v>
      </c>
      <c r="D94" t="s">
        <v>228</v>
      </c>
    </row>
    <row r="95" spans="1:4" x14ac:dyDescent="0.2">
      <c r="A95" t="str">
        <f t="shared" si="2"/>
        <v>5.8.8. Liegenschaftsbuchhaltung PVS UIAG</v>
      </c>
      <c r="B95" s="1" t="s">
        <v>229</v>
      </c>
      <c r="C95" t="s">
        <v>230</v>
      </c>
      <c r="D95" t="s">
        <v>231</v>
      </c>
    </row>
    <row r="96" spans="1:4" x14ac:dyDescent="0.2">
      <c r="A96" t="str">
        <f t="shared" si="2"/>
        <v>5.8.9. Übrige weitere Dienstleistungen</v>
      </c>
      <c r="B96" s="1" t="s">
        <v>232</v>
      </c>
      <c r="C96" t="s">
        <v>67</v>
      </c>
      <c r="D96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594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x14ac:dyDescent="0.2">
      <c r="A3" t="str">
        <f t="shared" ref="A3:A66" si="0">B3&amp;" "&amp;C3</f>
        <v>1.1. ASTRA</v>
      </c>
      <c r="B3" s="1" t="s">
        <v>20</v>
      </c>
      <c r="C3" t="s">
        <v>275</v>
      </c>
    </row>
    <row r="4" spans="1:3" x14ac:dyDescent="0.2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x14ac:dyDescent="0.2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x14ac:dyDescent="0.2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x14ac:dyDescent="0.2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x14ac:dyDescent="0.2">
      <c r="A17" t="str">
        <f t="shared" si="0"/>
        <v>3 GEMEINDEN</v>
      </c>
      <c r="B17" s="1">
        <v>3</v>
      </c>
      <c r="C17" t="s">
        <v>299</v>
      </c>
    </row>
    <row r="18" spans="1:3" x14ac:dyDescent="0.2">
      <c r="A18" t="str">
        <f t="shared" si="0"/>
        <v>3.0 KANTON BS</v>
      </c>
      <c r="B18" s="2" t="s">
        <v>300</v>
      </c>
      <c r="C18" t="s">
        <v>301</v>
      </c>
    </row>
    <row r="19" spans="1:3" x14ac:dyDescent="0.2">
      <c r="A19" t="str">
        <f t="shared" si="0"/>
        <v>3.0.1. Basel</v>
      </c>
      <c r="B19" s="1" t="s">
        <v>302</v>
      </c>
      <c r="C19" t="s">
        <v>303</v>
      </c>
    </row>
    <row r="20" spans="1:3" x14ac:dyDescent="0.2">
      <c r="A20" t="str">
        <f t="shared" si="0"/>
        <v>3.0.2. Bettingen</v>
      </c>
      <c r="B20" s="1" t="s">
        <v>304</v>
      </c>
      <c r="C20" t="s">
        <v>305</v>
      </c>
    </row>
    <row r="21" spans="1:3" x14ac:dyDescent="0.2">
      <c r="A21" t="str">
        <f t="shared" si="0"/>
        <v>3.0.3. Riehen</v>
      </c>
      <c r="B21" s="1" t="s">
        <v>306</v>
      </c>
      <c r="C21" t="s">
        <v>307</v>
      </c>
    </row>
    <row r="22" spans="1:3" x14ac:dyDescent="0.2">
      <c r="A22" t="str">
        <f t="shared" si="0"/>
        <v>3.1. KANTON BL</v>
      </c>
      <c r="B22" s="1" t="s">
        <v>71</v>
      </c>
      <c r="C22" t="s">
        <v>308</v>
      </c>
    </row>
    <row r="23" spans="1:3" x14ac:dyDescent="0.2">
      <c r="A23" t="str">
        <f t="shared" si="0"/>
        <v>3.1.01. Aesch</v>
      </c>
      <c r="B23" s="1" t="s">
        <v>309</v>
      </c>
      <c r="C23" t="s">
        <v>310</v>
      </c>
    </row>
    <row r="24" spans="1:3" x14ac:dyDescent="0.2">
      <c r="A24" t="str">
        <f t="shared" si="0"/>
        <v>3.1.02. Binningen</v>
      </c>
      <c r="B24" s="1" t="s">
        <v>311</v>
      </c>
      <c r="C24" t="s">
        <v>312</v>
      </c>
    </row>
    <row r="25" spans="1:3" x14ac:dyDescent="0.2">
      <c r="A25" t="str">
        <f t="shared" si="0"/>
        <v>3.1.03. Birsfelden</v>
      </c>
      <c r="B25" s="1" t="s">
        <v>313</v>
      </c>
      <c r="C25" t="s">
        <v>314</v>
      </c>
    </row>
    <row r="26" spans="1:3" x14ac:dyDescent="0.2">
      <c r="A26" t="str">
        <f t="shared" si="0"/>
        <v>3.1.04. Duggingen</v>
      </c>
      <c r="B26" s="1" t="s">
        <v>315</v>
      </c>
      <c r="C26" t="s">
        <v>316</v>
      </c>
    </row>
    <row r="27" spans="1:3" x14ac:dyDescent="0.2">
      <c r="A27" t="str">
        <f t="shared" si="0"/>
        <v>3.1.05. Nusshof</v>
      </c>
      <c r="B27" s="1" t="s">
        <v>317</v>
      </c>
      <c r="C27" t="s">
        <v>318</v>
      </c>
    </row>
    <row r="28" spans="1:3" x14ac:dyDescent="0.2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x14ac:dyDescent="0.2">
      <c r="A30" t="str">
        <f t="shared" si="0"/>
        <v>3.2. KANTON AG</v>
      </c>
      <c r="B30" s="1" t="s">
        <v>74</v>
      </c>
      <c r="C30" t="s">
        <v>323</v>
      </c>
    </row>
    <row r="31" spans="1:3" x14ac:dyDescent="0.2">
      <c r="A31" t="str">
        <f t="shared" si="0"/>
        <v>3.2.01. Hellikon</v>
      </c>
      <c r="B31" s="1" t="s">
        <v>324</v>
      </c>
      <c r="C31" t="s">
        <v>325</v>
      </c>
    </row>
    <row r="32" spans="1:3" x14ac:dyDescent="0.2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x14ac:dyDescent="0.2">
      <c r="A34" t="str">
        <f t="shared" si="0"/>
        <v>3.2.04. Mumpf</v>
      </c>
      <c r="B34" s="1" t="s">
        <v>330</v>
      </c>
      <c r="C34" t="s">
        <v>331</v>
      </c>
    </row>
    <row r="35" spans="1:3" x14ac:dyDescent="0.2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594</v>
      </c>
    </row>
    <row r="2" spans="1:3" x14ac:dyDescent="0.2">
      <c r="A2" s="3" t="str">
        <f t="shared" ref="A2:A8" si="0">CONCATENATE(B2," ",C2)</f>
        <v>A.B.BH. Bautenerhalt und Geomatik</v>
      </c>
      <c r="B2" s="4" t="s">
        <v>585</v>
      </c>
      <c r="C2" s="4" t="s">
        <v>621</v>
      </c>
    </row>
    <row r="3" spans="1:3" x14ac:dyDescent="0.2">
      <c r="A3" s="3" t="str">
        <f t="shared" si="0"/>
        <v>A.B.IBB. Ingenieurbau und Bahnbau</v>
      </c>
      <c r="B3" s="4" t="s">
        <v>628</v>
      </c>
      <c r="C3" s="4" t="s">
        <v>622</v>
      </c>
    </row>
    <row r="4" spans="1:3" x14ac:dyDescent="0.2">
      <c r="A4" s="3" t="str">
        <f t="shared" si="0"/>
        <v>A.B.PM. Projektmanagement und Generalplanung</v>
      </c>
      <c r="B4" s="4" t="s">
        <v>586</v>
      </c>
      <c r="C4" s="4" t="s">
        <v>623</v>
      </c>
    </row>
    <row r="5" spans="1:3" x14ac:dyDescent="0.2">
      <c r="A5" s="3" t="str">
        <f t="shared" si="0"/>
        <v>A.B.T2AG. Niederlassung Möhlin</v>
      </c>
      <c r="B5" s="4" t="s">
        <v>587</v>
      </c>
      <c r="C5" s="4" t="s">
        <v>624</v>
      </c>
    </row>
    <row r="6" spans="1:3" x14ac:dyDescent="0.2">
      <c r="A6" s="3" t="str">
        <f t="shared" si="0"/>
        <v>A.B.TB. Tiefbau</v>
      </c>
      <c r="B6" s="4" t="s">
        <v>588</v>
      </c>
      <c r="C6" s="4" t="s">
        <v>589</v>
      </c>
    </row>
    <row r="7" spans="1:3" x14ac:dyDescent="0.2">
      <c r="A7" s="3" t="str">
        <f t="shared" si="0"/>
        <v>A.B.VK. Verkehr und Umwelt</v>
      </c>
      <c r="B7" s="4" t="s">
        <v>590</v>
      </c>
      <c r="C7" s="4" t="s">
        <v>625</v>
      </c>
    </row>
    <row r="8" spans="1:3" x14ac:dyDescent="0.2">
      <c r="A8" s="3" t="str">
        <f t="shared" si="0"/>
        <v>A.B.ZD. Zentrale Dienste</v>
      </c>
      <c r="B8" s="4" t="s">
        <v>591</v>
      </c>
      <c r="C8" s="4" t="s">
        <v>592</v>
      </c>
    </row>
    <row r="9" spans="1:3" x14ac:dyDescent="0.2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594</v>
      </c>
    </row>
    <row r="2" spans="1:1" x14ac:dyDescent="0.2">
      <c r="A2" t="s">
        <v>598</v>
      </c>
    </row>
    <row r="3" spans="1:1" x14ac:dyDescent="0.2">
      <c r="A3" t="s">
        <v>608</v>
      </c>
    </row>
    <row r="4" spans="1:1" x14ac:dyDescent="0.2">
      <c r="A4" t="s">
        <v>609</v>
      </c>
    </row>
    <row r="5" spans="1:1" x14ac:dyDescent="0.2">
      <c r="A5" t="s">
        <v>599</v>
      </c>
    </row>
    <row r="6" spans="1:1" x14ac:dyDescent="0.2">
      <c r="A6" t="s">
        <v>600</v>
      </c>
    </row>
    <row r="7" spans="1:1" x14ac:dyDescent="0.2">
      <c r="A7" t="s">
        <v>601</v>
      </c>
    </row>
    <row r="8" spans="1:1" x14ac:dyDescent="0.2">
      <c r="A8" t="s">
        <v>602</v>
      </c>
    </row>
    <row r="9" spans="1:1" s="6" customFormat="1" x14ac:dyDescent="0.2">
      <c r="A9" s="6" t="s">
        <v>610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594</v>
      </c>
    </row>
    <row r="2" spans="1:1" x14ac:dyDescent="0.2">
      <c r="A2" t="s">
        <v>612</v>
      </c>
    </row>
    <row r="3" spans="1:1" x14ac:dyDescent="0.2">
      <c r="A3" t="s">
        <v>613</v>
      </c>
    </row>
    <row r="4" spans="1:1" x14ac:dyDescent="0.2">
      <c r="A4" t="s">
        <v>614</v>
      </c>
    </row>
    <row r="5" spans="1:1" x14ac:dyDescent="0.2">
      <c r="A5" t="s">
        <v>615</v>
      </c>
    </row>
    <row r="6" spans="1:1" x14ac:dyDescent="0.2">
      <c r="A6" t="s">
        <v>616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9</vt:i4>
      </vt:variant>
    </vt:vector>
  </HeadingPairs>
  <TitlesOfParts>
    <vt:vector size="17" baseType="lpstr">
      <vt:lpstr>.730</vt:lpstr>
      <vt:lpstr>.740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'.730'!Druckbereich</vt:lpstr>
      <vt:lpstr>'.740'!Druckbereich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Beuret Agnès</cp:lastModifiedBy>
  <cp:lastPrinted>2023-04-28T08:03:50Z</cp:lastPrinted>
  <dcterms:created xsi:type="dcterms:W3CDTF">2017-07-26T06:20:36Z</dcterms:created>
  <dcterms:modified xsi:type="dcterms:W3CDTF">2023-04-28T08:36:43Z</dcterms:modified>
</cp:coreProperties>
</file>