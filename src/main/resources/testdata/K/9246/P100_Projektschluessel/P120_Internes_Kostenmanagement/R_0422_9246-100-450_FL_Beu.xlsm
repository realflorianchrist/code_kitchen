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K:\9000\9246_FCh_EP_Sissach-Eptingen\P100_Projektschluessel\P120_Internes_Kostenmanagement\"/>
    </mc:Choice>
  </mc:AlternateContent>
  <bookViews>
    <workbookView xWindow="0" yWindow="-15" windowWidth="15300" windowHeight="9120" tabRatio="556" activeTab="5"/>
  </bookViews>
  <sheets>
    <sheet name="Grunddaten" sheetId="11" r:id="rId1"/>
    <sheet name="Dezember 2021_alt" sheetId="87" r:id="rId2"/>
    <sheet name="Januar 2022" sheetId="88" r:id="rId3"/>
    <sheet name="Februar 2022" sheetId="89" r:id="rId4"/>
    <sheet name="März 2022" sheetId="90" r:id="rId5"/>
    <sheet name="April 2022" sheetId="91" r:id="rId6"/>
  </sheets>
  <externalReferences>
    <externalReference r:id="rId7"/>
  </externalReferences>
  <definedNames>
    <definedName name="_xlnm.Print_Area" localSheetId="5">'April 2022'!$A$1:$G$47</definedName>
    <definedName name="_xlnm.Print_Area" localSheetId="1">'Dezember 2021_alt'!$A$1:$G$47</definedName>
    <definedName name="_xlnm.Print_Area" localSheetId="3">'Februar 2022'!$A$1:$G$47</definedName>
    <definedName name="_xlnm.Print_Area" localSheetId="0">Grunddaten!$A$1:$B$23</definedName>
    <definedName name="_xlnm.Print_Area" localSheetId="2">'Januar 2022'!$A$1:$G$47</definedName>
    <definedName name="_xlnm.Print_Area" localSheetId="4">'März 2022'!$A$1:$G$47</definedName>
    <definedName name="_xlnm.Print_Titles" localSheetId="5">'April 2022'!$1:$1</definedName>
    <definedName name="_xlnm.Print_Titles" localSheetId="1">'Dezember 2021_alt'!$1:$1</definedName>
    <definedName name="_xlnm.Print_Titles" localSheetId="3">'Februar 2022'!$1:$1</definedName>
    <definedName name="_xlnm.Print_Titles" localSheetId="2">'Januar 2022'!$1:$1</definedName>
    <definedName name="_xlnm.Print_Titles" localSheetId="4">'März 2022'!$1:$1</definedName>
  </definedNames>
  <calcPr calcId="162913" concurrentCalc="0"/>
</workbook>
</file>

<file path=xl/calcChain.xml><?xml version="1.0" encoding="utf-8"?>
<calcChain xmlns="http://schemas.openxmlformats.org/spreadsheetml/2006/main">
  <c r="F30" i="91" l="1"/>
  <c r="F35" i="91"/>
  <c r="F40" i="91"/>
  <c r="F42" i="91"/>
  <c r="F44" i="91"/>
  <c r="F46" i="91"/>
  <c r="F11" i="91"/>
  <c r="F10" i="91"/>
  <c r="A5" i="91"/>
  <c r="A4" i="91"/>
  <c r="A3" i="91"/>
  <c r="A2" i="91"/>
  <c r="F30" i="90"/>
  <c r="F35" i="90"/>
  <c r="F40" i="90"/>
  <c r="F42" i="90"/>
  <c r="F44" i="90"/>
  <c r="F46" i="90"/>
  <c r="F11" i="90"/>
  <c r="F10" i="90"/>
  <c r="A5" i="90"/>
  <c r="A4" i="90"/>
  <c r="A3" i="90"/>
  <c r="A2" i="90"/>
  <c r="F30" i="89"/>
  <c r="F35" i="89"/>
  <c r="F40" i="89"/>
  <c r="F42" i="89"/>
  <c r="F44" i="89"/>
  <c r="F46" i="89"/>
  <c r="F11" i="89"/>
  <c r="F10" i="89"/>
  <c r="F9" i="89"/>
  <c r="F8" i="89"/>
  <c r="A5" i="89"/>
  <c r="A4" i="89"/>
  <c r="A3" i="89"/>
  <c r="A2" i="89"/>
  <c r="F30" i="88"/>
  <c r="F35" i="88"/>
  <c r="F40" i="88"/>
  <c r="F42" i="88"/>
  <c r="F44" i="88"/>
  <c r="F46" i="88"/>
  <c r="F11" i="88"/>
  <c r="F10" i="88"/>
  <c r="F9" i="88"/>
  <c r="F8" i="88"/>
  <c r="A5" i="88"/>
  <c r="A4" i="88"/>
  <c r="A3" i="88"/>
  <c r="A2" i="88"/>
  <c r="F11" i="87"/>
  <c r="F30" i="87"/>
  <c r="F35" i="87"/>
  <c r="F40" i="87"/>
  <c r="F42" i="87"/>
  <c r="F44" i="87"/>
  <c r="F46" i="87"/>
  <c r="F10" i="87"/>
  <c r="F9" i="87"/>
  <c r="F8" i="87"/>
  <c r="A5" i="87"/>
  <c r="A4" i="87"/>
  <c r="A3" i="87"/>
  <c r="A2" i="87"/>
</calcChain>
</file>

<file path=xl/sharedStrings.xml><?xml version="1.0" encoding="utf-8"?>
<sst xmlns="http://schemas.openxmlformats.org/spreadsheetml/2006/main" count="239" uniqueCount="61">
  <si>
    <t>CHF</t>
  </si>
  <si>
    <t>Nebenkosten</t>
  </si>
  <si>
    <t>Versandadresse</t>
  </si>
  <si>
    <t>Auftraggeber</t>
  </si>
  <si>
    <t>Projektleiter</t>
  </si>
  <si>
    <t>Projekt-Nummer</t>
  </si>
  <si>
    <t>Leistungszeitraum</t>
  </si>
  <si>
    <t>Rechnungsdatum</t>
  </si>
  <si>
    <t>Rechnungs-/Projektgrundlagen</t>
  </si>
  <si>
    <t>CHE-105.932.199 MWST</t>
  </si>
  <si>
    <t>Zahlungsfrist/Tage</t>
  </si>
  <si>
    <t>Rechnungsnummer</t>
  </si>
  <si>
    <t>Rechnung erstellt von</t>
  </si>
  <si>
    <t>Mehrwertsteuer</t>
  </si>
  <si>
    <t>Rabatt</t>
  </si>
  <si>
    <t>Rechnung</t>
  </si>
  <si>
    <t>UID Nr.</t>
  </si>
  <si>
    <t>Datum</t>
  </si>
  <si>
    <t>Zahlungsziel</t>
  </si>
  <si>
    <t>Rechnung-Nr.</t>
  </si>
  <si>
    <t>Auftrag-Nr.</t>
  </si>
  <si>
    <t>Bemerkungen zum Projekt</t>
  </si>
  <si>
    <t>Bemerkungen zur Rechnung</t>
  </si>
  <si>
    <t>Index (bei Bedarf)</t>
  </si>
  <si>
    <t>INGE EPSI</t>
  </si>
  <si>
    <t>c/o Jauslin Stebler AG</t>
  </si>
  <si>
    <t>Gartenstrasse 15</t>
  </si>
  <si>
    <t>4132 Muttenz</t>
  </si>
  <si>
    <t>N02 EP Sissach - Eptingen (EP SIEP)</t>
  </si>
  <si>
    <t>Vertragsnummer</t>
  </si>
  <si>
    <t>070017/000025</t>
  </si>
  <si>
    <t>Verrechnet nach SIA-Honorarordnung 103, Zeittarif</t>
  </si>
  <si>
    <t>Teilprojekt 1 Tunnel/Geotechnik, 2 Trasse &amp; Umwelt, 3 Kunstbauten</t>
  </si>
  <si>
    <t>Teilprojekt 2 Projektleitung (9246.100)</t>
  </si>
  <si>
    <t>Teilprojekt 1 Projektleitung (9246.100)</t>
  </si>
  <si>
    <t>Teilprojekt 3 Projektleitung (9246.100)</t>
  </si>
  <si>
    <t>FL</t>
  </si>
  <si>
    <t>Phase 51 UfA</t>
  </si>
  <si>
    <t>Teilprojekt 1 Tunnel/Geotechnik (9246.430)</t>
  </si>
  <si>
    <t>Teilprojekt 2 Trasse &amp; Umwelt (9246.230)</t>
  </si>
  <si>
    <t>Teilprojekt 3 Kunstbauten (9246.330)</t>
  </si>
  <si>
    <t>Phase 51 UfA - Phase 52 Realisierung</t>
  </si>
  <si>
    <t>Phase 52 Realisierung</t>
  </si>
  <si>
    <t>Teilprojekt 1 Tunnel/Geotechnik (9246.450)</t>
  </si>
  <si>
    <t>Teilprojekt 3 Kunstbauten (9246.350)</t>
  </si>
  <si>
    <t>Teilprojekt 2 Trasse &amp; Umwelt (9246.250)</t>
  </si>
  <si>
    <t>Beu</t>
  </si>
  <si>
    <t>Rechnungstotal netto</t>
  </si>
  <si>
    <t>Rechnung wird durch Beu erstellt</t>
  </si>
  <si>
    <t>Teilprojekt 2 Trasse &amp; Umwelt (9246.231)</t>
  </si>
  <si>
    <t>Teilprojekt 3 Kunstbauten (9246.332)</t>
  </si>
  <si>
    <t>Teilprojekt 3 Kunstbauten (9246.333)</t>
  </si>
  <si>
    <t>Rechnungstotal  brutto</t>
  </si>
  <si>
    <t>.100.230.231.250.350.430.450</t>
  </si>
  <si>
    <t>Dezember 2021</t>
  </si>
  <si>
    <t>Januar 2022</t>
  </si>
  <si>
    <t>Februar 2022</t>
  </si>
  <si>
    <t>März 2022</t>
  </si>
  <si>
    <t>.100.230.330.430.450</t>
  </si>
  <si>
    <t>.330.430.450</t>
  </si>
  <si>
    <t>April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</si>
</sst>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&quot;Rechnung Nr. &quot;\ #####"/>
    <numFmt numFmtId="166" formatCode="dd/mm/yyyy;@"/>
  </numFmts>
  <fonts count="1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8"/>
      <name val="Arial"/>
      <family val="2"/>
    </font>
    <font>
      <i/>
      <sz val="10"/>
      <color rgb="FF000000"/>
      <name val="Arial"/>
      <family val="2"/>
    </font>
    <font>
      <u/>
      <sz val="11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4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5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quotePrefix="1" applyFont="1" applyFill="1" applyAlignment="1">
      <alignment horizontal="left"/>
    </xf>
    <xf numFmtId="164" fontId="2" fillId="3" borderId="0" xfId="0" applyNumberFormat="1" applyFont="1" applyFill="1" applyAlignment="1">
      <alignment horizontal="left"/>
    </xf>
    <xf numFmtId="17" fontId="3" fillId="0" borderId="0" xfId="2" applyNumberFormat="1" applyFont="1"/>
    <xf numFmtId="0" fontId="3" fillId="0" borderId="0" xfId="2" applyFont="1"/>
    <xf numFmtId="0" fontId="6" fillId="2" borderId="0" xfId="2" applyFont="1" applyFill="1" applyAlignment="1">
      <alignment vertical="top" wrapText="1"/>
    </xf>
    <xf numFmtId="14" fontId="4" fillId="3" borderId="0" xfId="2" applyNumberFormat="1" applyFont="1" applyFill="1" applyAlignment="1">
      <alignment horizontal="left" vertical="top" wrapText="1"/>
    </xf>
    <xf numFmtId="0" fontId="3" fillId="2" borderId="0" xfId="2" applyFont="1" applyFill="1"/>
    <xf numFmtId="14" fontId="3" fillId="0" borderId="0" xfId="2" applyNumberFormat="1" applyFont="1"/>
    <xf numFmtId="0" fontId="3" fillId="0" borderId="0" xfId="2" applyFont="1" applyAlignment="1">
      <alignment horizontal="left"/>
    </xf>
    <xf numFmtId="0" fontId="3" fillId="0" borderId="0" xfId="2" applyFont="1" applyFill="1" applyAlignment="1">
      <alignment horizontal="left"/>
    </xf>
    <xf numFmtId="0" fontId="3" fillId="0" borderId="0" xfId="2" applyNumberFormat="1" applyFont="1" applyFill="1" applyAlignment="1">
      <alignment horizontal="left"/>
    </xf>
    <xf numFmtId="14" fontId="3" fillId="0" borderId="0" xfId="2" applyNumberFormat="1" applyFont="1" applyFill="1" applyAlignment="1">
      <alignment horizontal="left"/>
    </xf>
    <xf numFmtId="0" fontId="5" fillId="2" borderId="0" xfId="2" applyFont="1" applyFill="1"/>
    <xf numFmtId="0" fontId="2" fillId="0" borderId="0" xfId="2" applyFont="1" applyAlignment="1">
      <alignment horizontal="left"/>
    </xf>
    <xf numFmtId="0" fontId="2" fillId="0" borderId="0" xfId="2" applyFont="1"/>
    <xf numFmtId="166" fontId="2" fillId="0" borderId="0" xfId="2" applyNumberFormat="1" applyFont="1" applyAlignment="1">
      <alignment horizontal="left"/>
    </xf>
    <xf numFmtId="0" fontId="3" fillId="0" borderId="0" xfId="2" quotePrefix="1" applyFont="1" applyAlignment="1">
      <alignment horizontal="left"/>
    </xf>
    <xf numFmtId="0" fontId="3" fillId="0" borderId="0" xfId="2" applyFont="1" applyBorder="1"/>
    <xf numFmtId="0" fontId="3" fillId="0" borderId="0" xfId="2" quotePrefix="1" applyFont="1" applyAlignment="1"/>
    <xf numFmtId="0" fontId="2" fillId="0" borderId="0" xfId="2" quotePrefix="1" applyFont="1" applyAlignment="1"/>
    <xf numFmtId="4" fontId="3" fillId="0" borderId="0" xfId="2" applyNumberFormat="1" applyFont="1" applyBorder="1"/>
    <xf numFmtId="0" fontId="3" fillId="2" borderId="0" xfId="2" applyFont="1" applyFill="1" applyBorder="1"/>
    <xf numFmtId="0" fontId="5" fillId="0" borderId="0" xfId="2" applyFont="1" applyBorder="1" applyAlignment="1"/>
    <xf numFmtId="0" fontId="3" fillId="2" borderId="0" xfId="2" applyFont="1" applyFill="1" applyBorder="1" applyAlignment="1">
      <alignment horizontal="center"/>
    </xf>
    <xf numFmtId="0" fontId="5" fillId="0" borderId="0" xfId="2" applyFont="1"/>
    <xf numFmtId="0" fontId="3" fillId="0" borderId="0" xfId="2" applyFont="1" applyBorder="1" applyAlignment="1"/>
    <xf numFmtId="0" fontId="3" fillId="0" borderId="0" xfId="2" applyFont="1" applyAlignment="1"/>
    <xf numFmtId="2" fontId="3" fillId="0" borderId="0" xfId="2" applyNumberFormat="1" applyFont="1"/>
    <xf numFmtId="4" fontId="3" fillId="0" borderId="0" xfId="2" applyNumberFormat="1" applyFont="1" applyBorder="1" applyAlignment="1"/>
    <xf numFmtId="0" fontId="2" fillId="0" borderId="6" xfId="2" quotePrefix="1" applyFont="1" applyBorder="1" applyAlignment="1">
      <alignment horizontal="left"/>
    </xf>
    <xf numFmtId="0" fontId="2" fillId="0" borderId="6" xfId="2" applyFont="1" applyBorder="1"/>
    <xf numFmtId="0" fontId="2" fillId="0" borderId="6" xfId="2" applyFont="1" applyBorder="1" applyAlignment="1">
      <alignment horizontal="center"/>
    </xf>
    <xf numFmtId="0" fontId="2" fillId="0" borderId="3" xfId="2" applyFont="1" applyBorder="1" applyAlignment="1">
      <alignment horizontal="center" vertical="top"/>
    </xf>
    <xf numFmtId="0" fontId="2" fillId="0" borderId="4" xfId="2" applyFont="1" applyBorder="1" applyAlignment="1">
      <alignment horizontal="center" vertical="top"/>
    </xf>
    <xf numFmtId="0" fontId="2" fillId="2" borderId="0" xfId="2" applyFont="1" applyFill="1" applyBorder="1"/>
    <xf numFmtId="0" fontId="2" fillId="2" borderId="0" xfId="2" applyFont="1" applyFill="1"/>
    <xf numFmtId="0" fontId="3" fillId="0" borderId="0" xfId="2" applyFont="1" applyAlignment="1">
      <alignment horizontal="center"/>
    </xf>
    <xf numFmtId="0" fontId="3" fillId="0" borderId="2" xfId="2" applyFont="1" applyBorder="1" applyAlignment="1">
      <alignment horizontal="center" vertical="top"/>
    </xf>
    <xf numFmtId="0" fontId="3" fillId="0" borderId="0" xfId="2" applyFont="1" applyBorder="1" applyAlignment="1">
      <alignment horizontal="center" vertical="top"/>
    </xf>
    <xf numFmtId="9" fontId="3" fillId="0" borderId="0" xfId="2" applyNumberFormat="1" applyFont="1"/>
    <xf numFmtId="0" fontId="3" fillId="0" borderId="0" xfId="2" applyFont="1" applyAlignment="1">
      <alignment horizontal="right"/>
    </xf>
    <xf numFmtId="164" fontId="3" fillId="0" borderId="1" xfId="2" applyNumberFormat="1" applyFont="1" applyBorder="1"/>
    <xf numFmtId="4" fontId="3" fillId="0" borderId="2" xfId="2" applyNumberFormat="1" applyFont="1" applyBorder="1"/>
    <xf numFmtId="4" fontId="3" fillId="0" borderId="0" xfId="2" applyNumberFormat="1" applyFont="1"/>
    <xf numFmtId="0" fontId="3" fillId="0" borderId="0" xfId="2" applyFont="1" applyAlignment="1">
      <alignment horizontal="centerContinuous"/>
    </xf>
    <xf numFmtId="4" fontId="3" fillId="0" borderId="5" xfId="2" applyNumberFormat="1" applyFont="1" applyBorder="1"/>
    <xf numFmtId="4" fontId="3" fillId="0" borderId="7" xfId="2" applyNumberFormat="1" applyFont="1" applyBorder="1"/>
    <xf numFmtId="0" fontId="5" fillId="0" borderId="0" xfId="2" applyFont="1" applyBorder="1"/>
    <xf numFmtId="0" fontId="5" fillId="0" borderId="0" xfId="2" quotePrefix="1" applyFont="1" applyBorder="1" applyAlignment="1">
      <alignment horizontal="left"/>
    </xf>
    <xf numFmtId="0" fontId="5" fillId="0" borderId="0" xfId="2" applyFont="1" applyBorder="1" applyAlignment="1">
      <alignment horizontal="centerContinuous"/>
    </xf>
    <xf numFmtId="0" fontId="5" fillId="0" borderId="0" xfId="2" quotePrefix="1" applyFont="1" applyBorder="1" applyAlignment="1">
      <alignment horizontal="center"/>
    </xf>
    <xf numFmtId="9" fontId="5" fillId="0" borderId="0" xfId="2" applyNumberFormat="1" applyFont="1" applyBorder="1"/>
    <xf numFmtId="4" fontId="5" fillId="0" borderId="2" xfId="2" applyNumberFormat="1" applyFont="1" applyBorder="1"/>
    <xf numFmtId="4" fontId="5" fillId="0" borderId="0" xfId="2" applyNumberFormat="1" applyFont="1" applyBorder="1" applyAlignment="1"/>
    <xf numFmtId="0" fontId="9" fillId="0" borderId="0" xfId="2" quotePrefix="1" applyFont="1" applyAlignment="1">
      <alignment horizontal="left"/>
    </xf>
    <xf numFmtId="4" fontId="3" fillId="0" borderId="8" xfId="2" applyNumberFormat="1" applyFont="1" applyBorder="1"/>
    <xf numFmtId="0" fontId="2" fillId="2" borderId="0" xfId="0" quotePrefix="1" applyFont="1" applyFill="1"/>
    <xf numFmtId="0" fontId="9" fillId="0" borderId="0" xfId="2" applyFont="1"/>
    <xf numFmtId="17" fontId="3" fillId="0" borderId="0" xfId="2" quotePrefix="1" applyNumberFormat="1" applyFont="1" applyFill="1" applyAlignment="1">
      <alignment horizontal="left"/>
    </xf>
    <xf numFmtId="17" fontId="3" fillId="0" borderId="0" xfId="2" quotePrefix="1" applyNumberFormat="1" applyFont="1" applyAlignment="1">
      <alignment horizontal="left"/>
    </xf>
    <xf numFmtId="17" fontId="9" fillId="0" borderId="0" xfId="2" quotePrefix="1" applyNumberFormat="1" applyFont="1" applyAlignment="1">
      <alignment horizontal="left"/>
    </xf>
    <xf numFmtId="4" fontId="5" fillId="0" borderId="0" xfId="2" applyNumberFormat="1" applyFont="1" applyBorder="1"/>
    <xf numFmtId="0" fontId="5" fillId="0" borderId="0" xfId="2" quotePrefix="1" applyFont="1" applyAlignment="1">
      <alignment horizontal="left"/>
    </xf>
    <xf numFmtId="0" fontId="5" fillId="2" borderId="0" xfId="2" applyFont="1" applyFill="1" applyBorder="1"/>
    <xf numFmtId="0" fontId="5" fillId="0" borderId="0" xfId="2" applyFont="1" applyAlignment="1">
      <alignment horizontal="right"/>
    </xf>
    <xf numFmtId="4" fontId="5" fillId="0" borderId="2" xfId="2" applyNumberFormat="1" applyFont="1" applyBorder="1" applyAlignment="1">
      <alignment horizontal="right"/>
    </xf>
    <xf numFmtId="0" fontId="5" fillId="0" borderId="0" xfId="2" quotePrefix="1" applyFont="1" applyAlignment="1">
      <alignment horizontal="right"/>
    </xf>
    <xf numFmtId="9" fontId="5" fillId="0" borderId="0" xfId="2" applyNumberFormat="1" applyFont="1" applyAlignment="1">
      <alignment horizontal="right"/>
    </xf>
    <xf numFmtId="164" fontId="5" fillId="0" borderId="1" xfId="2" applyNumberFormat="1" applyFont="1" applyBorder="1" applyAlignment="1">
      <alignment horizontal="right"/>
    </xf>
    <xf numFmtId="4" fontId="5" fillId="0" borderId="0" xfId="2" applyNumberFormat="1" applyFont="1" applyAlignment="1">
      <alignment horizontal="right"/>
    </xf>
    <xf numFmtId="0" fontId="5" fillId="2" borderId="0" xfId="2" applyFont="1" applyFill="1" applyBorder="1" applyAlignment="1">
      <alignment horizontal="right"/>
    </xf>
    <xf numFmtId="0" fontId="5" fillId="2" borderId="0" xfId="2" applyFont="1" applyFill="1" applyAlignment="1">
      <alignment horizontal="right"/>
    </xf>
    <xf numFmtId="0" fontId="10" fillId="0" borderId="0" xfId="2" applyFont="1"/>
    <xf numFmtId="0" fontId="3" fillId="0" borderId="0" xfId="2" quotePrefix="1" applyFont="1" applyFill="1" applyAlignment="1">
      <alignment horizontal="left" wrapText="1"/>
    </xf>
    <xf numFmtId="0" fontId="2" fillId="3" borderId="0" xfId="0" applyFont="1" applyFill="1" applyAlignment="1">
      <alignment horizontal="left" vertical="top"/>
    </xf>
    <xf numFmtId="165" fontId="7" fillId="0" borderId="0" xfId="2" applyNumberFormat="1" applyFont="1" applyBorder="1" applyAlignment="1">
      <alignment horizontal="left" vertical="top"/>
    </xf>
    <xf numFmtId="0" fontId="3" fillId="0" borderId="0" xfId="2" applyFont="1" applyAlignment="1">
      <alignment horizontal="left" vertical="top" wrapText="1"/>
    </xf>
  </cellXfs>
  <cellStyles count="3">
    <cellStyle name="Standard" xfId="0" builtinId="0"/>
    <cellStyle name="Standard 2" xfId="1"/>
    <cellStyle name="Standard 3" xfId="2"/>
  </cellStyles>
  <dxfs count="10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FF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120</xdr:row>
          <xdr:rowOff>152400</xdr:rowOff>
        </xdr:from>
        <xdr:to>
          <xdr:col>3</xdr:col>
          <xdr:colOff>238125</xdr:colOff>
          <xdr:row>122</xdr:row>
          <xdr:rowOff>133350</xdr:rowOff>
        </xdr:to>
        <xdr:sp macro="" textlink="">
          <xdr:nvSpPr>
            <xdr:cNvPr id="15361" name="Bild 14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99</xdr:row>
          <xdr:rowOff>161925</xdr:rowOff>
        </xdr:from>
        <xdr:to>
          <xdr:col>6</xdr:col>
          <xdr:colOff>790575</xdr:colOff>
          <xdr:row>101</xdr:row>
          <xdr:rowOff>104775</xdr:rowOff>
        </xdr:to>
        <xdr:sp macro="" textlink="">
          <xdr:nvSpPr>
            <xdr:cNvPr id="97281" name="Bild 14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99</xdr:row>
          <xdr:rowOff>161925</xdr:rowOff>
        </xdr:from>
        <xdr:to>
          <xdr:col>6</xdr:col>
          <xdr:colOff>790575</xdr:colOff>
          <xdr:row>101</xdr:row>
          <xdr:rowOff>104775</xdr:rowOff>
        </xdr:to>
        <xdr:sp macro="" textlink="">
          <xdr:nvSpPr>
            <xdr:cNvPr id="98305" name="Bild 14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99</xdr:row>
          <xdr:rowOff>161925</xdr:rowOff>
        </xdr:from>
        <xdr:to>
          <xdr:col>6</xdr:col>
          <xdr:colOff>790575</xdr:colOff>
          <xdr:row>101</xdr:row>
          <xdr:rowOff>104775</xdr:rowOff>
        </xdr:to>
        <xdr:sp macro="" textlink="">
          <xdr:nvSpPr>
            <xdr:cNvPr id="99329" name="Bild 14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99</xdr:row>
          <xdr:rowOff>161925</xdr:rowOff>
        </xdr:from>
        <xdr:to>
          <xdr:col>6</xdr:col>
          <xdr:colOff>790575</xdr:colOff>
          <xdr:row>101</xdr:row>
          <xdr:rowOff>104775</xdr:rowOff>
        </xdr:to>
        <xdr:sp macro="" textlink="">
          <xdr:nvSpPr>
            <xdr:cNvPr id="100353" name="Bild 14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100</xdr:row>
          <xdr:rowOff>161925</xdr:rowOff>
        </xdr:from>
        <xdr:to>
          <xdr:col>6</xdr:col>
          <xdr:colOff>790575</xdr:colOff>
          <xdr:row>102</xdr:row>
          <xdr:rowOff>104775</xdr:rowOff>
        </xdr:to>
        <xdr:sp macro="" textlink="">
          <xdr:nvSpPr>
            <xdr:cNvPr id="101377" name="Bild 14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8005%20F_&amp;_R\300%20Fakturierung\RECHNUNGEN\2020\9200%20-%209299\9246-400_Shd_BB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März19"/>
      <sheetName val="9246-400_Shd_BBr"/>
    </sheetNames>
    <sheetDataSet>
      <sheetData sheetId="0" refreshError="1">
        <row r="3">
          <cell r="B3">
            <v>9246</v>
          </cell>
        </row>
        <row r="6">
          <cell r="B6">
            <v>30</v>
          </cell>
        </row>
        <row r="8">
          <cell r="B8" t="str">
            <v>INGE EPSI</v>
          </cell>
        </row>
        <row r="9">
          <cell r="B9" t="str">
            <v>c/o Jauslin Stebler AG</v>
          </cell>
        </row>
        <row r="10">
          <cell r="B10" t="str">
            <v>Gartenstrasse 15</v>
          </cell>
        </row>
        <row r="11">
          <cell r="B11" t="str">
            <v>4132 Muttenz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.doc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1.doc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2.doc"/><Relationship Id="rId4" Type="http://schemas.openxmlformats.org/officeDocument/2006/relationships/vmlDrawing" Target="../drawings/vmlDrawing8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3.doc"/><Relationship Id="rId4" Type="http://schemas.openxmlformats.org/officeDocument/2006/relationships/vmlDrawing" Target="../drawings/vmlDrawing10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4.doc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37"/>
  <sheetViews>
    <sheetView showGridLines="0" zoomScaleNormal="100" workbookViewId="0">
      <selection activeCell="D29" sqref="D29"/>
    </sheetView>
  </sheetViews>
  <sheetFormatPr baseColWidth="10" defaultColWidth="18.28515625" defaultRowHeight="12.75"/>
  <cols>
    <col min="1" max="1" width="25" style="1" customWidth="1"/>
    <col min="2" max="2" width="38" style="1" customWidth="1"/>
    <col min="3" max="16384" width="18.28515625" style="1"/>
  </cols>
  <sheetData>
    <row r="1" spans="1:9" ht="15">
      <c r="A1" s="3" t="s">
        <v>8</v>
      </c>
    </row>
    <row r="2" spans="1:9" ht="12.75" customHeight="1">
      <c r="I2" s="63"/>
    </row>
    <row r="3" spans="1:9" ht="12.75" customHeight="1">
      <c r="A3" s="1" t="s">
        <v>5</v>
      </c>
      <c r="B3" s="7">
        <v>9246</v>
      </c>
    </row>
    <row r="4" spans="1:9" ht="12.75" customHeight="1">
      <c r="A4" s="1" t="s">
        <v>4</v>
      </c>
      <c r="B4" s="4" t="s">
        <v>36</v>
      </c>
    </row>
    <row r="5" spans="1:9" ht="12.75" customHeight="1"/>
    <row r="6" spans="1:9" ht="12.75" customHeight="1">
      <c r="A6" s="1" t="s">
        <v>10</v>
      </c>
      <c r="B6" s="6">
        <v>30</v>
      </c>
      <c r="I6" s="63"/>
    </row>
    <row r="7" spans="1:9" ht="12.75" customHeight="1"/>
    <row r="8" spans="1:9" ht="12.75" customHeight="1">
      <c r="A8" s="1" t="s">
        <v>3</v>
      </c>
      <c r="B8" s="5" t="s">
        <v>24</v>
      </c>
    </row>
    <row r="9" spans="1:9" ht="12.75" customHeight="1">
      <c r="B9" s="4" t="s">
        <v>25</v>
      </c>
    </row>
    <row r="10" spans="1:9" ht="12.75" customHeight="1">
      <c r="B10" s="4" t="s">
        <v>26</v>
      </c>
    </row>
    <row r="11" spans="1:9" ht="12.75" customHeight="1">
      <c r="B11" s="4" t="s">
        <v>27</v>
      </c>
    </row>
    <row r="12" spans="1:9" ht="12.75" customHeight="1">
      <c r="B12" s="4"/>
    </row>
    <row r="13" spans="1:9" ht="12.75" customHeight="1">
      <c r="A13" s="2"/>
    </row>
    <row r="14" spans="1:9" ht="12.75" customHeight="1">
      <c r="A14" s="2" t="s">
        <v>14</v>
      </c>
      <c r="B14" s="8">
        <v>0</v>
      </c>
    </row>
    <row r="15" spans="1:9" ht="12.75" customHeight="1">
      <c r="A15" s="2" t="s">
        <v>1</v>
      </c>
      <c r="B15" s="8">
        <v>0</v>
      </c>
    </row>
    <row r="17" spans="1:2" ht="12.75" customHeight="1">
      <c r="A17" s="2" t="s">
        <v>2</v>
      </c>
      <c r="B17" s="4"/>
    </row>
    <row r="18" spans="1:2" ht="12.75" customHeight="1">
      <c r="A18" s="2"/>
      <c r="B18" s="4"/>
    </row>
    <row r="19" spans="1:2" ht="12.75" customHeight="1">
      <c r="A19" s="2"/>
      <c r="B19" s="4"/>
    </row>
    <row r="20" spans="1:2" ht="12.75" customHeight="1">
      <c r="A20" s="2"/>
      <c r="B20" s="4"/>
    </row>
    <row r="21" spans="1:2" ht="12.75" customHeight="1">
      <c r="B21" s="4"/>
    </row>
    <row r="22" spans="1:2" ht="12.75" customHeight="1"/>
    <row r="23" spans="1:2" ht="12.75" customHeight="1"/>
    <row r="25" spans="1:2">
      <c r="A25" s="1" t="s">
        <v>21</v>
      </c>
      <c r="B25" s="81"/>
    </row>
    <row r="26" spans="1:2">
      <c r="B26" s="81"/>
    </row>
    <row r="27" spans="1:2">
      <c r="B27" s="81"/>
    </row>
    <row r="28" spans="1:2">
      <c r="B28" s="81"/>
    </row>
    <row r="29" spans="1:2">
      <c r="B29" s="81"/>
    </row>
    <row r="30" spans="1:2">
      <c r="B30" s="81"/>
    </row>
    <row r="31" spans="1:2">
      <c r="B31" s="81"/>
    </row>
    <row r="32" spans="1:2">
      <c r="B32" s="81"/>
    </row>
    <row r="33" spans="2:2">
      <c r="B33" s="81"/>
    </row>
    <row r="34" spans="2:2">
      <c r="B34" s="81"/>
    </row>
    <row r="35" spans="2:2">
      <c r="B35" s="81"/>
    </row>
    <row r="36" spans="2:2">
      <c r="B36" s="81"/>
    </row>
    <row r="37" spans="2:2">
      <c r="B37" s="81"/>
    </row>
  </sheetData>
  <mergeCells count="1">
    <mergeCell ref="B25:B37"/>
  </mergeCells>
  <pageMargins left="0.94488188976377963" right="0.62992125984251968" top="0.43307086614173229" bottom="0.19685039370078741" header="0.98425196850393704" footer="0.27559055118110237"/>
  <pageSetup paperSize="9" orientation="portrait" r:id="rId1"/>
  <headerFooter>
    <oddHeader>&amp;R&amp;G</oddHeader>
    <oddFooter>&amp;L&amp;G</odd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15361" r:id="rId5">
          <objectPr defaultSize="0" autoLine="0" autoPict="0" r:id="rId6">
            <anchor>
              <from>
                <xdr:col>0</xdr:col>
                <xdr:colOff>0</xdr:colOff>
                <xdr:row>120</xdr:row>
                <xdr:rowOff>152400</xdr:rowOff>
              </from>
              <to>
                <xdr:col>3</xdr:col>
                <xdr:colOff>238125</xdr:colOff>
                <xdr:row>122</xdr:row>
                <xdr:rowOff>133350</xdr:rowOff>
              </to>
            </anchor>
          </objectPr>
        </oleObject>
      </mc:Choice>
      <mc:Fallback>
        <oleObject progId="Word.Document.6" shapeId="15361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3">
    <tabColor theme="0"/>
    <pageSetUpPr fitToPage="1"/>
  </sheetPr>
  <dimension ref="A1:L46"/>
  <sheetViews>
    <sheetView showGridLines="0" zoomScaleNormal="100" workbookViewId="0">
      <selection activeCell="I6" sqref="I6"/>
    </sheetView>
  </sheetViews>
  <sheetFormatPr baseColWidth="10" defaultRowHeight="14.25"/>
  <cols>
    <col min="1" max="1" width="18.7109375" style="10" customWidth="1"/>
    <col min="2" max="2" width="12.85546875" style="10" customWidth="1"/>
    <col min="3" max="3" width="6.140625" style="10" customWidth="1"/>
    <col min="4" max="4" width="9.7109375" style="10" customWidth="1"/>
    <col min="5" max="5" width="12.7109375" style="10" customWidth="1"/>
    <col min="6" max="7" width="12.85546875" style="10" customWidth="1"/>
    <col min="8" max="8" width="21.85546875" style="10" customWidth="1"/>
    <col min="9" max="9" width="17.7109375" style="10" customWidth="1"/>
    <col min="10" max="16384" width="11.42578125" style="10"/>
  </cols>
  <sheetData>
    <row r="1" spans="1:12" ht="129.94999999999999" customHeight="1">
      <c r="A1" s="9"/>
      <c r="H1" s="11" t="s">
        <v>22</v>
      </c>
      <c r="I1" s="12" t="s">
        <v>48</v>
      </c>
      <c r="J1" s="13"/>
      <c r="K1" s="14"/>
      <c r="L1" s="14"/>
    </row>
    <row r="2" spans="1:12" ht="28.5">
      <c r="A2" s="15" t="str">
        <f>IF([1]Grunddaten!B8="","",[1]Grunddaten!B8)</f>
        <v>INGE EPSI</v>
      </c>
      <c r="H2" s="13" t="s">
        <v>23</v>
      </c>
      <c r="I2" s="80" t="s">
        <v>53</v>
      </c>
      <c r="J2" s="13"/>
    </row>
    <row r="3" spans="1:12">
      <c r="A3" s="15" t="str">
        <f>IF([1]Grunddaten!B9="","",[1]Grunddaten!B9)</f>
        <v>c/o Jauslin Stebler AG</v>
      </c>
      <c r="H3" s="13" t="s">
        <v>12</v>
      </c>
      <c r="I3" s="16" t="s">
        <v>46</v>
      </c>
      <c r="J3" s="13"/>
      <c r="K3" s="14"/>
    </row>
    <row r="4" spans="1:12">
      <c r="A4" s="15" t="str">
        <f>IF([1]Grunddaten!B10="","",[1]Grunddaten!B10)</f>
        <v>Gartenstrasse 15</v>
      </c>
      <c r="H4" s="13" t="s">
        <v>11</v>
      </c>
      <c r="I4" s="17">
        <v>2220247</v>
      </c>
      <c r="J4" s="13"/>
    </row>
    <row r="5" spans="1:12">
      <c r="A5" s="15" t="str">
        <f>IF([1]Grunddaten!B11="","",[1]Grunddaten!B11)</f>
        <v>4132 Muttenz</v>
      </c>
      <c r="H5" s="13" t="s">
        <v>7</v>
      </c>
      <c r="I5" s="18">
        <v>44608</v>
      </c>
      <c r="J5" s="13"/>
    </row>
    <row r="6" spans="1:12">
      <c r="A6" s="15"/>
      <c r="H6" s="13" t="s">
        <v>6</v>
      </c>
      <c r="I6" s="65">
        <v>44531</v>
      </c>
      <c r="J6" s="13"/>
    </row>
    <row r="7" spans="1:12" ht="14.25" customHeight="1">
      <c r="A7" s="82" t="s">
        <v>15</v>
      </c>
      <c r="B7" s="82"/>
      <c r="C7" s="82"/>
      <c r="D7" s="82"/>
      <c r="E7" s="20" t="s">
        <v>16</v>
      </c>
      <c r="F7" s="21" t="s">
        <v>9</v>
      </c>
      <c r="H7" s="13"/>
      <c r="I7" s="13"/>
      <c r="J7" s="13"/>
    </row>
    <row r="8" spans="1:12" ht="14.25" customHeight="1">
      <c r="A8" s="82"/>
      <c r="B8" s="82"/>
      <c r="C8" s="82"/>
      <c r="D8" s="82"/>
      <c r="E8" s="20" t="s">
        <v>19</v>
      </c>
      <c r="F8" s="20">
        <f>IF(I4="","",I4)</f>
        <v>2220247</v>
      </c>
      <c r="H8" s="13"/>
      <c r="I8" s="13"/>
      <c r="J8" s="13"/>
    </row>
    <row r="9" spans="1:12">
      <c r="E9" s="20" t="s">
        <v>17</v>
      </c>
      <c r="F9" s="22">
        <f>IF(I5="","",I5)</f>
        <v>44608</v>
      </c>
      <c r="H9" s="13"/>
      <c r="I9" s="13"/>
      <c r="J9" s="13"/>
    </row>
    <row r="10" spans="1:12">
      <c r="C10" s="23"/>
      <c r="E10" s="21" t="s">
        <v>20</v>
      </c>
      <c r="F10" s="79" t="str">
        <f>Grunddaten!B3&amp;I2&amp;"/"&amp;Grunddaten!B4&amp;"/"&amp;I3</f>
        <v>9246.100.230.231.250.350.430.450/FL/Beu</v>
      </c>
      <c r="G10" s="24"/>
      <c r="H10" s="13"/>
      <c r="I10" s="13"/>
      <c r="J10" s="13"/>
    </row>
    <row r="11" spans="1:12" s="24" customFormat="1">
      <c r="C11" s="25"/>
      <c r="D11" s="25"/>
      <c r="E11" s="21" t="s">
        <v>18</v>
      </c>
      <c r="F11" s="26" t="str">
        <f>[1]Grunddaten!B6&amp;" Tage netto"</f>
        <v>30 Tage netto</v>
      </c>
      <c r="G11" s="27"/>
      <c r="H11" s="28"/>
      <c r="I11" s="28"/>
      <c r="J11" s="28"/>
    </row>
    <row r="12" spans="1:12" ht="9.9499999999999993" customHeight="1">
      <c r="A12" s="15"/>
      <c r="B12" s="15"/>
      <c r="C12" s="23"/>
      <c r="E12" s="24"/>
      <c r="F12" s="24"/>
      <c r="G12" s="24"/>
      <c r="H12" s="19"/>
      <c r="I12" s="19"/>
      <c r="J12" s="19"/>
    </row>
    <row r="13" spans="1:12" s="31" customFormat="1" ht="15">
      <c r="A13" s="29" t="s">
        <v>28</v>
      </c>
      <c r="B13" s="29"/>
      <c r="C13" s="29"/>
      <c r="D13" s="29"/>
      <c r="E13" s="29"/>
      <c r="F13" s="29"/>
      <c r="G13" s="29"/>
      <c r="H13" s="30"/>
      <c r="I13" s="28"/>
      <c r="J13" s="13"/>
    </row>
    <row r="14" spans="1:12">
      <c r="A14" s="32" t="s">
        <v>32</v>
      </c>
      <c r="B14" s="32"/>
      <c r="C14" s="32"/>
      <c r="D14" s="32"/>
      <c r="E14" s="32"/>
      <c r="F14" s="32"/>
      <c r="G14" s="32"/>
      <c r="H14" s="28"/>
      <c r="I14" s="13"/>
      <c r="J14" s="13"/>
    </row>
    <row r="15" spans="1:12">
      <c r="A15" s="32" t="s">
        <v>29</v>
      </c>
      <c r="B15" s="33" t="s">
        <v>30</v>
      </c>
      <c r="C15" s="33"/>
      <c r="D15" s="33"/>
      <c r="E15" s="33"/>
      <c r="F15" s="33"/>
      <c r="G15" s="33"/>
      <c r="H15" s="28"/>
      <c r="I15" s="13"/>
      <c r="J15" s="13"/>
    </row>
    <row r="16" spans="1:12" ht="15">
      <c r="A16" s="29" t="s">
        <v>41</v>
      </c>
      <c r="B16" s="33"/>
      <c r="C16" s="33"/>
      <c r="D16" s="33"/>
      <c r="E16" s="33"/>
      <c r="F16" s="33"/>
      <c r="G16" s="33"/>
      <c r="H16" s="28"/>
      <c r="I16" s="28"/>
      <c r="J16" s="13"/>
    </row>
    <row r="17" spans="1:10" ht="6.75" customHeight="1">
      <c r="A17" s="32"/>
      <c r="B17" s="33"/>
      <c r="C17" s="33"/>
      <c r="D17" s="33"/>
      <c r="E17" s="33"/>
      <c r="F17" s="33"/>
      <c r="G17" s="33"/>
      <c r="H17" s="28"/>
      <c r="I17" s="28"/>
      <c r="J17" s="13"/>
    </row>
    <row r="18" spans="1:10">
      <c r="A18" s="23" t="s">
        <v>6</v>
      </c>
      <c r="B18" s="66" t="s">
        <v>54</v>
      </c>
      <c r="D18" s="34"/>
      <c r="E18" s="24"/>
      <c r="F18" s="27"/>
      <c r="G18" s="35"/>
      <c r="H18" s="28"/>
      <c r="I18" s="28"/>
      <c r="J18" s="13"/>
    </row>
    <row r="19" spans="1:10" ht="6.75" customHeight="1">
      <c r="B19" s="23"/>
      <c r="D19" s="34"/>
      <c r="E19" s="24"/>
      <c r="F19" s="27"/>
      <c r="G19" s="35"/>
      <c r="H19" s="28"/>
      <c r="I19" s="13"/>
      <c r="J19" s="13"/>
    </row>
    <row r="20" spans="1:10" ht="19.5" customHeight="1">
      <c r="A20" s="83" t="s">
        <v>31</v>
      </c>
      <c r="B20" s="83"/>
      <c r="C20" s="83"/>
      <c r="D20" s="83"/>
      <c r="E20" s="83"/>
      <c r="F20" s="83"/>
      <c r="G20" s="83"/>
      <c r="H20" s="28"/>
      <c r="I20" s="28"/>
      <c r="J20" s="13"/>
    </row>
    <row r="21" spans="1:10" s="21" customFormat="1" ht="12.75">
      <c r="A21" s="36"/>
      <c r="B21" s="36"/>
      <c r="C21" s="37"/>
      <c r="D21" s="38"/>
      <c r="E21" s="37"/>
      <c r="F21" s="39" t="s">
        <v>0</v>
      </c>
      <c r="G21" s="40" t="s">
        <v>0</v>
      </c>
      <c r="H21" s="41"/>
      <c r="I21" s="41"/>
      <c r="J21" s="42"/>
    </row>
    <row r="22" spans="1:10" ht="14.25" customHeight="1">
      <c r="A22" s="67" t="s">
        <v>54</v>
      </c>
      <c r="B22" s="23"/>
      <c r="D22" s="43"/>
      <c r="E22" s="24"/>
      <c r="F22" s="44"/>
      <c r="G22" s="45"/>
      <c r="H22" s="28"/>
      <c r="I22" s="28"/>
      <c r="J22" s="13"/>
    </row>
    <row r="23" spans="1:10" ht="14.25" customHeight="1">
      <c r="A23" s="61" t="s">
        <v>37</v>
      </c>
      <c r="B23" s="23"/>
      <c r="D23" s="43"/>
      <c r="E23" s="24"/>
      <c r="F23" s="44"/>
      <c r="G23" s="45"/>
      <c r="H23" s="28"/>
      <c r="I23" s="28"/>
      <c r="J23" s="13"/>
    </row>
    <row r="24" spans="1:10" ht="14.25" customHeight="1">
      <c r="A24" s="10" t="s">
        <v>38</v>
      </c>
      <c r="B24" s="23"/>
      <c r="C24" s="46"/>
      <c r="D24" s="47"/>
      <c r="E24" s="48"/>
      <c r="F24" s="49">
        <v>2570</v>
      </c>
      <c r="G24" s="50"/>
      <c r="H24" s="28"/>
      <c r="I24" s="28"/>
      <c r="J24" s="13"/>
    </row>
    <row r="25" spans="1:10" ht="14.25" customHeight="1">
      <c r="A25" s="10" t="s">
        <v>39</v>
      </c>
      <c r="B25" s="23"/>
      <c r="C25" s="46"/>
      <c r="D25" s="47"/>
      <c r="E25" s="48"/>
      <c r="F25" s="49">
        <v>3120</v>
      </c>
      <c r="G25" s="50"/>
      <c r="H25" s="28"/>
      <c r="I25" s="28"/>
      <c r="J25" s="13"/>
    </row>
    <row r="26" spans="1:10" ht="14.25" customHeight="1">
      <c r="A26" s="10" t="s">
        <v>49</v>
      </c>
      <c r="B26" s="23"/>
      <c r="C26" s="46"/>
      <c r="D26" s="47"/>
      <c r="E26" s="48"/>
      <c r="F26" s="49">
        <v>7742.75</v>
      </c>
      <c r="G26" s="50"/>
      <c r="H26" s="28"/>
      <c r="I26" s="28"/>
      <c r="J26" s="13"/>
    </row>
    <row r="27" spans="1:10" ht="14.25" customHeight="1">
      <c r="A27" s="10" t="s">
        <v>40</v>
      </c>
      <c r="B27" s="23"/>
      <c r="C27" s="46"/>
      <c r="D27" s="47"/>
      <c r="E27" s="48"/>
      <c r="F27" s="49">
        <v>0</v>
      </c>
      <c r="G27" s="50"/>
      <c r="H27" s="28"/>
      <c r="I27" s="28"/>
      <c r="J27" s="13"/>
    </row>
    <row r="28" spans="1:10" ht="14.25" customHeight="1">
      <c r="A28" s="10" t="s">
        <v>50</v>
      </c>
      <c r="B28" s="23"/>
      <c r="C28" s="46"/>
      <c r="D28" s="47"/>
      <c r="E28" s="48"/>
      <c r="F28" s="49">
        <v>0</v>
      </c>
      <c r="G28" s="50"/>
      <c r="H28" s="28"/>
      <c r="I28" s="28"/>
      <c r="J28" s="13"/>
    </row>
    <row r="29" spans="1:10" ht="14.25" customHeight="1">
      <c r="A29" s="10" t="s">
        <v>51</v>
      </c>
      <c r="B29" s="23"/>
      <c r="C29" s="46"/>
      <c r="D29" s="47"/>
      <c r="E29" s="48"/>
      <c r="F29" s="62">
        <v>0</v>
      </c>
      <c r="G29" s="50"/>
      <c r="H29" s="28"/>
      <c r="I29" s="28"/>
      <c r="J29" s="13"/>
    </row>
    <row r="30" spans="1:10" ht="15" customHeight="1">
      <c r="B30" s="23"/>
      <c r="C30" s="46"/>
      <c r="D30" s="47"/>
      <c r="E30" s="48"/>
      <c r="F30" s="49">
        <f>SUM(F24:F29)</f>
        <v>13432.75</v>
      </c>
      <c r="G30" s="50"/>
      <c r="H30" s="28"/>
      <c r="I30" s="28"/>
      <c r="J30" s="13"/>
    </row>
    <row r="31" spans="1:10" ht="14.25" customHeight="1">
      <c r="A31" s="61" t="s">
        <v>42</v>
      </c>
      <c r="B31" s="23"/>
      <c r="D31" s="43"/>
      <c r="E31" s="24"/>
      <c r="F31" s="44"/>
      <c r="G31" s="45"/>
      <c r="H31" s="28"/>
      <c r="I31" s="28"/>
      <c r="J31" s="13"/>
    </row>
    <row r="32" spans="1:10" ht="14.25" customHeight="1">
      <c r="A32" s="10" t="s">
        <v>43</v>
      </c>
      <c r="B32" s="23"/>
      <c r="C32" s="46"/>
      <c r="D32" s="47"/>
      <c r="E32" s="48"/>
      <c r="F32" s="49">
        <v>4762</v>
      </c>
      <c r="G32" s="50"/>
      <c r="H32" s="28"/>
      <c r="I32" s="28"/>
      <c r="J32" s="13"/>
    </row>
    <row r="33" spans="1:10" ht="14.25" customHeight="1">
      <c r="A33" s="10" t="s">
        <v>45</v>
      </c>
      <c r="B33" s="23"/>
      <c r="C33" s="46"/>
      <c r="D33" s="47"/>
      <c r="E33" s="48"/>
      <c r="F33" s="49">
        <v>0</v>
      </c>
      <c r="G33" s="50"/>
      <c r="H33" s="28"/>
      <c r="I33" s="28"/>
      <c r="J33" s="13"/>
    </row>
    <row r="34" spans="1:10" ht="14.25" customHeight="1">
      <c r="A34" s="10" t="s">
        <v>44</v>
      </c>
      <c r="B34" s="23"/>
      <c r="C34" s="46"/>
      <c r="D34" s="47"/>
      <c r="E34" s="48"/>
      <c r="F34" s="62">
        <v>0</v>
      </c>
      <c r="G34" s="50"/>
      <c r="H34" s="28"/>
      <c r="I34" s="28"/>
      <c r="J34" s="13"/>
    </row>
    <row r="35" spans="1:10" ht="15" customHeight="1">
      <c r="B35" s="23"/>
      <c r="C35" s="46"/>
      <c r="D35" s="47"/>
      <c r="E35" s="48"/>
      <c r="F35" s="49">
        <f>SUM(F32:F34)</f>
        <v>4762</v>
      </c>
      <c r="G35" s="50"/>
      <c r="H35" s="28"/>
      <c r="I35" s="28"/>
      <c r="J35" s="13"/>
    </row>
    <row r="36" spans="1:10" ht="15" customHeight="1">
      <c r="A36" s="64" t="s">
        <v>42</v>
      </c>
      <c r="B36" s="23"/>
      <c r="C36" s="46"/>
      <c r="D36" s="47"/>
      <c r="E36" s="48"/>
      <c r="F36" s="49"/>
      <c r="G36" s="50"/>
      <c r="H36" s="28"/>
      <c r="I36" s="28"/>
      <c r="J36" s="13"/>
    </row>
    <row r="37" spans="1:10" ht="14.25" customHeight="1">
      <c r="A37" s="10" t="s">
        <v>34</v>
      </c>
      <c r="B37" s="23"/>
      <c r="C37" s="46"/>
      <c r="D37" s="47"/>
      <c r="E37" s="48"/>
      <c r="F37" s="49">
        <v>420</v>
      </c>
      <c r="G37" s="50"/>
      <c r="H37" s="28"/>
      <c r="I37" s="28"/>
      <c r="J37" s="13"/>
    </row>
    <row r="38" spans="1:10" ht="14.25" customHeight="1">
      <c r="A38" s="10" t="s">
        <v>33</v>
      </c>
      <c r="B38" s="23"/>
      <c r="C38" s="46"/>
      <c r="D38" s="47"/>
      <c r="E38" s="48"/>
      <c r="F38" s="49">
        <v>175</v>
      </c>
      <c r="G38" s="50"/>
      <c r="H38" s="28"/>
      <c r="I38" s="28"/>
      <c r="J38" s="13"/>
    </row>
    <row r="39" spans="1:10" ht="14.25" customHeight="1">
      <c r="A39" s="10" t="s">
        <v>35</v>
      </c>
      <c r="B39" s="23"/>
      <c r="C39" s="46"/>
      <c r="D39" s="47"/>
      <c r="E39" s="48"/>
      <c r="F39" s="62">
        <v>315</v>
      </c>
      <c r="G39" s="50"/>
      <c r="H39" s="28"/>
      <c r="I39" s="28"/>
      <c r="J39" s="13"/>
    </row>
    <row r="40" spans="1:10" ht="15" customHeight="1">
      <c r="B40" s="23"/>
      <c r="C40" s="46"/>
      <c r="D40" s="47"/>
      <c r="E40" s="48"/>
      <c r="F40" s="49">
        <f>SUM(F37:F39)</f>
        <v>910</v>
      </c>
      <c r="G40" s="50"/>
      <c r="H40" s="28"/>
      <c r="I40" s="28"/>
      <c r="J40" s="13"/>
    </row>
    <row r="41" spans="1:10" ht="5.25" customHeight="1">
      <c r="B41" s="23"/>
      <c r="C41" s="46"/>
      <c r="D41" s="47"/>
      <c r="E41" s="48"/>
      <c r="F41" s="49"/>
      <c r="G41" s="50"/>
      <c r="H41" s="28"/>
      <c r="I41" s="28"/>
      <c r="J41" s="13"/>
    </row>
    <row r="42" spans="1:10" s="71" customFormat="1" ht="15.75" customHeight="1">
      <c r="A42" s="31" t="s">
        <v>52</v>
      </c>
      <c r="B42" s="73"/>
      <c r="C42" s="74"/>
      <c r="E42" s="75"/>
      <c r="F42" s="72">
        <f>SUM(F30+F35+F40)</f>
        <v>19104.75</v>
      </c>
      <c r="G42" s="76"/>
      <c r="H42" s="77"/>
      <c r="I42" s="77"/>
      <c r="J42" s="78"/>
    </row>
    <row r="43" spans="1:10" ht="15.75" customHeight="1">
      <c r="B43" s="23"/>
      <c r="C43" s="46"/>
      <c r="D43" s="47"/>
      <c r="E43" s="48"/>
      <c r="F43" s="59"/>
      <c r="G43" s="50"/>
      <c r="H43" s="28"/>
      <c r="I43" s="28"/>
      <c r="J43" s="13"/>
    </row>
    <row r="44" spans="1:10" ht="18" customHeight="1">
      <c r="A44" s="15" t="s">
        <v>13</v>
      </c>
      <c r="B44" s="23"/>
      <c r="C44" s="51"/>
      <c r="D44" s="43"/>
      <c r="E44" s="48">
        <v>7.6999999999999999E-2</v>
      </c>
      <c r="F44" s="52">
        <f>ROUND(F42*E44*20,0)/20</f>
        <v>1471.05</v>
      </c>
      <c r="G44" s="53"/>
      <c r="H44" s="28"/>
      <c r="I44" s="28"/>
      <c r="J44" s="13"/>
    </row>
    <row r="45" spans="1:10" ht="18" customHeight="1">
      <c r="A45" s="54"/>
      <c r="B45" s="55"/>
      <c r="C45" s="56"/>
      <c r="D45" s="57"/>
      <c r="E45" s="58"/>
      <c r="F45" s="59"/>
      <c r="G45" s="60"/>
      <c r="H45" s="28"/>
      <c r="I45" s="28"/>
      <c r="J45" s="13"/>
    </row>
    <row r="46" spans="1:10" s="31" customFormat="1" ht="14.25" customHeight="1">
      <c r="A46" s="31" t="s">
        <v>47</v>
      </c>
      <c r="B46" s="69"/>
      <c r="E46" s="54"/>
      <c r="F46" s="59">
        <f>F42+F44</f>
        <v>20575.8</v>
      </c>
      <c r="G46" s="68"/>
      <c r="H46" s="70"/>
      <c r="I46" s="70"/>
      <c r="J46" s="19"/>
    </row>
  </sheetData>
  <mergeCells count="2">
    <mergeCell ref="A7:D8"/>
    <mergeCell ref="A20:G20"/>
  </mergeCells>
  <conditionalFormatting sqref="I3:I6">
    <cfRule type="expression" dxfId="9" priority="2">
      <formula>I3=""</formula>
    </cfRule>
  </conditionalFormatting>
  <conditionalFormatting sqref="I2">
    <cfRule type="expression" dxfId="8" priority="1">
      <formula>I2=""</formula>
    </cfRule>
  </conditionalFormatting>
  <pageMargins left="0.94488188976377963" right="0.70866141732283472" top="0.43307086614173229" bottom="0.17" header="0.99" footer="0.21"/>
  <pageSetup paperSize="9" scale="8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97281" r:id="rId5">
          <objectPr defaultSize="0" autoLine="0" autoPict="0" r:id="rId6">
            <anchor>
              <from>
                <xdr:col>0</xdr:col>
                <xdr:colOff>0</xdr:colOff>
                <xdr:row>99</xdr:row>
                <xdr:rowOff>161925</xdr:rowOff>
              </from>
              <to>
                <xdr:col>6</xdr:col>
                <xdr:colOff>790575</xdr:colOff>
                <xdr:row>101</xdr:row>
                <xdr:rowOff>104775</xdr:rowOff>
              </to>
            </anchor>
          </objectPr>
        </oleObject>
      </mc:Choice>
      <mc:Fallback>
        <oleObject progId="Word.Document.6" shapeId="97281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2" r:id="rId7" name="Button 2">
              <controlPr defaultSize="0" print="0" autoFill="0" autoPict="0" macro="[0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4">
    <tabColor theme="0"/>
    <pageSetUpPr fitToPage="1"/>
  </sheetPr>
  <dimension ref="A1:L46"/>
  <sheetViews>
    <sheetView showGridLines="0" zoomScaleNormal="100" workbookViewId="0">
      <selection activeCell="I6" sqref="I6"/>
    </sheetView>
  </sheetViews>
  <sheetFormatPr baseColWidth="10" defaultRowHeight="14.25"/>
  <cols>
    <col min="1" max="1" width="18.7109375" style="10" customWidth="1"/>
    <col min="2" max="2" width="12.85546875" style="10" customWidth="1"/>
    <col min="3" max="3" width="6.140625" style="10" customWidth="1"/>
    <col min="4" max="4" width="9.7109375" style="10" customWidth="1"/>
    <col min="5" max="5" width="12.7109375" style="10" customWidth="1"/>
    <col min="6" max="7" width="12.85546875" style="10" customWidth="1"/>
    <col min="8" max="8" width="21.85546875" style="10" customWidth="1"/>
    <col min="9" max="9" width="17.7109375" style="10" customWidth="1"/>
    <col min="10" max="16384" width="11.42578125" style="10"/>
  </cols>
  <sheetData>
    <row r="1" spans="1:12" ht="129.94999999999999" customHeight="1">
      <c r="A1" s="9"/>
      <c r="H1" s="11" t="s">
        <v>22</v>
      </c>
      <c r="I1" s="12" t="s">
        <v>48</v>
      </c>
      <c r="J1" s="13"/>
      <c r="K1" s="14"/>
      <c r="L1" s="14"/>
    </row>
    <row r="2" spans="1:12" ht="28.5">
      <c r="A2" s="15" t="str">
        <f>IF([1]Grunddaten!B8="","",[1]Grunddaten!B8)</f>
        <v>INGE EPSI</v>
      </c>
      <c r="H2" s="13" t="s">
        <v>23</v>
      </c>
      <c r="I2" s="80" t="s">
        <v>53</v>
      </c>
      <c r="J2" s="13"/>
    </row>
    <row r="3" spans="1:12">
      <c r="A3" s="15" t="str">
        <f>IF([1]Grunddaten!B9="","",[1]Grunddaten!B9)</f>
        <v>c/o Jauslin Stebler AG</v>
      </c>
      <c r="H3" s="13" t="s">
        <v>12</v>
      </c>
      <c r="I3" s="16" t="s">
        <v>46</v>
      </c>
      <c r="J3" s="13"/>
      <c r="K3" s="14"/>
    </row>
    <row r="4" spans="1:12">
      <c r="A4" s="15" t="str">
        <f>IF([1]Grunddaten!B10="","",[1]Grunddaten!B10)</f>
        <v>Gartenstrasse 15</v>
      </c>
      <c r="H4" s="13" t="s">
        <v>11</v>
      </c>
      <c r="I4" s="17">
        <v>2220248</v>
      </c>
      <c r="J4" s="13"/>
    </row>
    <row r="5" spans="1:12">
      <c r="A5" s="15" t="str">
        <f>IF([1]Grunddaten!B11="","",[1]Grunddaten!B11)</f>
        <v>4132 Muttenz</v>
      </c>
      <c r="H5" s="13" t="s">
        <v>7</v>
      </c>
      <c r="I5" s="18">
        <v>44608</v>
      </c>
      <c r="J5" s="13"/>
    </row>
    <row r="6" spans="1:12">
      <c r="A6" s="15"/>
      <c r="H6" s="13" t="s">
        <v>6</v>
      </c>
      <c r="I6" s="65">
        <v>44562</v>
      </c>
      <c r="J6" s="13"/>
    </row>
    <row r="7" spans="1:12" ht="14.25" customHeight="1">
      <c r="A7" s="82" t="s">
        <v>15</v>
      </c>
      <c r="B7" s="82"/>
      <c r="C7" s="82"/>
      <c r="D7" s="82"/>
      <c r="E7" s="20" t="s">
        <v>16</v>
      </c>
      <c r="F7" s="21" t="s">
        <v>9</v>
      </c>
      <c r="H7" s="13"/>
      <c r="I7" s="13"/>
      <c r="J7" s="13"/>
    </row>
    <row r="8" spans="1:12" ht="14.25" customHeight="1">
      <c r="A8" s="82"/>
      <c r="B8" s="82"/>
      <c r="C8" s="82"/>
      <c r="D8" s="82"/>
      <c r="E8" s="20" t="s">
        <v>19</v>
      </c>
      <c r="F8" s="20">
        <f>IF(I4="","",I4)</f>
        <v>2220248</v>
      </c>
      <c r="H8" s="13"/>
      <c r="I8" s="13"/>
      <c r="J8" s="13"/>
    </row>
    <row r="9" spans="1:12">
      <c r="E9" s="20" t="s">
        <v>17</v>
      </c>
      <c r="F9" s="22">
        <f>IF(I5="","",I5)</f>
        <v>44608</v>
      </c>
      <c r="H9" s="13"/>
      <c r="I9" s="13"/>
      <c r="J9" s="13"/>
    </row>
    <row r="10" spans="1:12">
      <c r="C10" s="23"/>
      <c r="E10" s="21" t="s">
        <v>20</v>
      </c>
      <c r="F10" s="79" t="str">
        <f>Grunddaten!B3&amp;I2&amp;"/"&amp;Grunddaten!B4&amp;"/"&amp;I3</f>
        <v>9246.100.230.231.250.350.430.450/FL/Beu</v>
      </c>
      <c r="G10" s="24"/>
      <c r="H10" s="13"/>
      <c r="I10" s="13"/>
      <c r="J10" s="13"/>
    </row>
    <row r="11" spans="1:12" s="24" customFormat="1">
      <c r="C11" s="25"/>
      <c r="D11" s="25"/>
      <c r="E11" s="21" t="s">
        <v>18</v>
      </c>
      <c r="F11" s="26" t="str">
        <f>[1]Grunddaten!B6&amp;" Tage netto"</f>
        <v>30 Tage netto</v>
      </c>
      <c r="G11" s="27"/>
      <c r="H11" s="28"/>
      <c r="I11" s="28"/>
      <c r="J11" s="28"/>
    </row>
    <row r="12" spans="1:12" ht="9.9499999999999993" customHeight="1">
      <c r="A12" s="15"/>
      <c r="B12" s="15"/>
      <c r="C12" s="23"/>
      <c r="E12" s="24"/>
      <c r="F12" s="24"/>
      <c r="G12" s="24"/>
      <c r="H12" s="19"/>
      <c r="I12" s="19"/>
      <c r="J12" s="19"/>
    </row>
    <row r="13" spans="1:12" s="31" customFormat="1" ht="15">
      <c r="A13" s="29" t="s">
        <v>28</v>
      </c>
      <c r="B13" s="29"/>
      <c r="C13" s="29"/>
      <c r="D13" s="29"/>
      <c r="E13" s="29"/>
      <c r="F13" s="29"/>
      <c r="G13" s="29"/>
      <c r="H13" s="30"/>
      <c r="I13" s="28"/>
      <c r="J13" s="13"/>
    </row>
    <row r="14" spans="1:12">
      <c r="A14" s="32" t="s">
        <v>32</v>
      </c>
      <c r="B14" s="32"/>
      <c r="C14" s="32"/>
      <c r="D14" s="32"/>
      <c r="E14" s="32"/>
      <c r="F14" s="32"/>
      <c r="G14" s="32"/>
      <c r="H14" s="28"/>
      <c r="I14" s="13"/>
      <c r="J14" s="13"/>
    </row>
    <row r="15" spans="1:12">
      <c r="A15" s="32" t="s">
        <v>29</v>
      </c>
      <c r="B15" s="33" t="s">
        <v>30</v>
      </c>
      <c r="C15" s="33"/>
      <c r="D15" s="33"/>
      <c r="E15" s="33"/>
      <c r="F15" s="33"/>
      <c r="G15" s="33"/>
      <c r="H15" s="28"/>
      <c r="I15" s="13"/>
      <c r="J15" s="13"/>
    </row>
    <row r="16" spans="1:12" ht="15">
      <c r="A16" s="29" t="s">
        <v>41</v>
      </c>
      <c r="B16" s="33"/>
      <c r="C16" s="33"/>
      <c r="D16" s="33"/>
      <c r="E16" s="33"/>
      <c r="F16" s="33"/>
      <c r="G16" s="33"/>
      <c r="H16" s="28"/>
      <c r="I16" s="28"/>
      <c r="J16" s="13"/>
    </row>
    <row r="17" spans="1:10" ht="6.75" customHeight="1">
      <c r="A17" s="32"/>
      <c r="B17" s="33"/>
      <c r="C17" s="33"/>
      <c r="D17" s="33"/>
      <c r="E17" s="33"/>
      <c r="F17" s="33"/>
      <c r="G17" s="33"/>
      <c r="H17" s="28"/>
      <c r="I17" s="28"/>
      <c r="J17" s="13"/>
    </row>
    <row r="18" spans="1:10">
      <c r="A18" s="23" t="s">
        <v>6</v>
      </c>
      <c r="B18" s="66" t="s">
        <v>55</v>
      </c>
      <c r="D18" s="34"/>
      <c r="E18" s="24"/>
      <c r="F18" s="27"/>
      <c r="G18" s="35"/>
      <c r="H18" s="28"/>
      <c r="I18" s="28"/>
      <c r="J18" s="13"/>
    </row>
    <row r="19" spans="1:10" ht="6.75" customHeight="1">
      <c r="B19" s="23"/>
      <c r="D19" s="34"/>
      <c r="E19" s="24"/>
      <c r="F19" s="27"/>
      <c r="G19" s="35"/>
      <c r="H19" s="28"/>
      <c r="I19" s="13"/>
      <c r="J19" s="13"/>
    </row>
    <row r="20" spans="1:10" ht="19.5" customHeight="1">
      <c r="A20" s="83" t="s">
        <v>31</v>
      </c>
      <c r="B20" s="83"/>
      <c r="C20" s="83"/>
      <c r="D20" s="83"/>
      <c r="E20" s="83"/>
      <c r="F20" s="83"/>
      <c r="G20" s="83"/>
      <c r="H20" s="28"/>
      <c r="I20" s="28"/>
      <c r="J20" s="13"/>
    </row>
    <row r="21" spans="1:10" s="21" customFormat="1" ht="12.75">
      <c r="A21" s="36"/>
      <c r="B21" s="36"/>
      <c r="C21" s="37"/>
      <c r="D21" s="38"/>
      <c r="E21" s="37"/>
      <c r="F21" s="39" t="s">
        <v>0</v>
      </c>
      <c r="G21" s="40" t="s">
        <v>0</v>
      </c>
      <c r="H21" s="41"/>
      <c r="I21" s="41"/>
      <c r="J21" s="42"/>
    </row>
    <row r="22" spans="1:10" ht="14.25" customHeight="1">
      <c r="A22" s="67" t="s">
        <v>55</v>
      </c>
      <c r="B22" s="23"/>
      <c r="D22" s="43"/>
      <c r="E22" s="24"/>
      <c r="F22" s="44"/>
      <c r="G22" s="45"/>
      <c r="H22" s="28"/>
      <c r="I22" s="28"/>
      <c r="J22" s="13"/>
    </row>
    <row r="23" spans="1:10" ht="14.25" customHeight="1">
      <c r="A23" s="61" t="s">
        <v>37</v>
      </c>
      <c r="B23" s="23"/>
      <c r="D23" s="43"/>
      <c r="E23" s="24"/>
      <c r="F23" s="44"/>
      <c r="G23" s="45"/>
      <c r="H23" s="28"/>
      <c r="I23" s="28"/>
      <c r="J23" s="13"/>
    </row>
    <row r="24" spans="1:10" ht="14.25" customHeight="1">
      <c r="A24" s="10" t="s">
        <v>38</v>
      </c>
      <c r="B24" s="23"/>
      <c r="C24" s="46"/>
      <c r="D24" s="47"/>
      <c r="E24" s="48"/>
      <c r="F24" s="49">
        <v>881</v>
      </c>
      <c r="G24" s="50"/>
      <c r="H24" s="28"/>
      <c r="I24" s="28"/>
      <c r="J24" s="13"/>
    </row>
    <row r="25" spans="1:10" ht="14.25" customHeight="1">
      <c r="A25" s="10" t="s">
        <v>39</v>
      </c>
      <c r="B25" s="23"/>
      <c r="C25" s="46"/>
      <c r="D25" s="47"/>
      <c r="E25" s="48"/>
      <c r="F25" s="49">
        <v>2137.5</v>
      </c>
      <c r="G25" s="50"/>
      <c r="H25" s="28"/>
      <c r="I25" s="28"/>
      <c r="J25" s="13"/>
    </row>
    <row r="26" spans="1:10" ht="14.25" customHeight="1">
      <c r="A26" s="10" t="s">
        <v>49</v>
      </c>
      <c r="B26" s="23"/>
      <c r="C26" s="46"/>
      <c r="D26" s="47"/>
      <c r="E26" s="48"/>
      <c r="F26" s="49">
        <v>8054.25</v>
      </c>
      <c r="G26" s="50"/>
      <c r="H26" s="28"/>
      <c r="I26" s="28"/>
      <c r="J26" s="13"/>
    </row>
    <row r="27" spans="1:10" ht="14.25" customHeight="1">
      <c r="A27" s="10" t="s">
        <v>40</v>
      </c>
      <c r="B27" s="23"/>
      <c r="C27" s="46"/>
      <c r="D27" s="47"/>
      <c r="E27" s="48"/>
      <c r="F27" s="49">
        <v>0</v>
      </c>
      <c r="G27" s="50"/>
      <c r="H27" s="28"/>
      <c r="I27" s="28"/>
      <c r="J27" s="13"/>
    </row>
    <row r="28" spans="1:10" ht="14.25" customHeight="1">
      <c r="A28" s="10" t="s">
        <v>50</v>
      </c>
      <c r="B28" s="23"/>
      <c r="C28" s="46"/>
      <c r="D28" s="47"/>
      <c r="E28" s="48"/>
      <c r="F28" s="49">
        <v>0</v>
      </c>
      <c r="G28" s="50"/>
      <c r="H28" s="28"/>
      <c r="I28" s="28"/>
      <c r="J28" s="13"/>
    </row>
    <row r="29" spans="1:10" ht="14.25" customHeight="1">
      <c r="A29" s="10" t="s">
        <v>51</v>
      </c>
      <c r="B29" s="23"/>
      <c r="C29" s="46"/>
      <c r="D29" s="47"/>
      <c r="E29" s="48"/>
      <c r="F29" s="62">
        <v>0</v>
      </c>
      <c r="G29" s="50"/>
      <c r="H29" s="28"/>
      <c r="I29" s="28"/>
      <c r="J29" s="13"/>
    </row>
    <row r="30" spans="1:10" ht="15" customHeight="1">
      <c r="B30" s="23"/>
      <c r="C30" s="46"/>
      <c r="D30" s="47"/>
      <c r="E30" s="48"/>
      <c r="F30" s="49">
        <f>SUM(F24:F29)</f>
        <v>11072.75</v>
      </c>
      <c r="G30" s="50"/>
      <c r="H30" s="28"/>
      <c r="I30" s="28"/>
      <c r="J30" s="13"/>
    </row>
    <row r="31" spans="1:10" ht="14.25" customHeight="1">
      <c r="A31" s="61" t="s">
        <v>42</v>
      </c>
      <c r="B31" s="23"/>
      <c r="D31" s="43"/>
      <c r="E31" s="24"/>
      <c r="F31" s="44"/>
      <c r="G31" s="45"/>
      <c r="H31" s="28"/>
      <c r="I31" s="28"/>
      <c r="J31" s="13"/>
    </row>
    <row r="32" spans="1:10" ht="14.25" customHeight="1">
      <c r="A32" s="10" t="s">
        <v>43</v>
      </c>
      <c r="B32" s="23"/>
      <c r="C32" s="46"/>
      <c r="D32" s="47"/>
      <c r="E32" s="48"/>
      <c r="F32" s="49">
        <v>6811</v>
      </c>
      <c r="G32" s="50"/>
      <c r="H32" s="28"/>
      <c r="I32" s="28"/>
      <c r="J32" s="13"/>
    </row>
    <row r="33" spans="1:10" ht="14.25" customHeight="1">
      <c r="A33" s="10" t="s">
        <v>45</v>
      </c>
      <c r="B33" s="23"/>
      <c r="C33" s="46"/>
      <c r="D33" s="47"/>
      <c r="E33" s="48"/>
      <c r="F33" s="49">
        <v>0</v>
      </c>
      <c r="G33" s="50"/>
      <c r="H33" s="28"/>
      <c r="I33" s="28"/>
      <c r="J33" s="13"/>
    </row>
    <row r="34" spans="1:10" ht="14.25" customHeight="1">
      <c r="A34" s="10" t="s">
        <v>44</v>
      </c>
      <c r="B34" s="23"/>
      <c r="C34" s="46"/>
      <c r="D34" s="47"/>
      <c r="E34" s="48"/>
      <c r="F34" s="62">
        <v>0</v>
      </c>
      <c r="G34" s="50"/>
      <c r="H34" s="28"/>
      <c r="I34" s="28"/>
      <c r="J34" s="13"/>
    </row>
    <row r="35" spans="1:10" ht="15" customHeight="1">
      <c r="B35" s="23"/>
      <c r="C35" s="46"/>
      <c r="D35" s="47"/>
      <c r="E35" s="48"/>
      <c r="F35" s="49">
        <f>SUM(F32:F34)</f>
        <v>6811</v>
      </c>
      <c r="G35" s="50"/>
      <c r="H35" s="28"/>
      <c r="I35" s="28"/>
      <c r="J35" s="13"/>
    </row>
    <row r="36" spans="1:10" ht="15" customHeight="1">
      <c r="A36" s="64" t="s">
        <v>42</v>
      </c>
      <c r="B36" s="23"/>
      <c r="C36" s="46"/>
      <c r="D36" s="47"/>
      <c r="E36" s="48"/>
      <c r="F36" s="49"/>
      <c r="G36" s="50"/>
      <c r="H36" s="28"/>
      <c r="I36" s="28"/>
      <c r="J36" s="13"/>
    </row>
    <row r="37" spans="1:10" ht="14.25" customHeight="1">
      <c r="A37" s="10" t="s">
        <v>34</v>
      </c>
      <c r="B37" s="23"/>
      <c r="C37" s="46"/>
      <c r="D37" s="47"/>
      <c r="E37" s="48"/>
      <c r="F37" s="49">
        <v>455.7</v>
      </c>
      <c r="G37" s="50"/>
      <c r="H37" s="28"/>
      <c r="I37" s="28"/>
      <c r="J37" s="13"/>
    </row>
    <row r="38" spans="1:10" ht="14.25" customHeight="1">
      <c r="A38" s="10" t="s">
        <v>33</v>
      </c>
      <c r="B38" s="23"/>
      <c r="C38" s="46"/>
      <c r="D38" s="47"/>
      <c r="E38" s="48"/>
      <c r="F38" s="49">
        <v>292.95</v>
      </c>
      <c r="G38" s="50"/>
      <c r="H38" s="28"/>
      <c r="I38" s="28"/>
      <c r="J38" s="13"/>
    </row>
    <row r="39" spans="1:10" ht="14.25" customHeight="1">
      <c r="A39" s="10" t="s">
        <v>35</v>
      </c>
      <c r="B39" s="23"/>
      <c r="C39" s="46"/>
      <c r="D39" s="47"/>
      <c r="E39" s="48"/>
      <c r="F39" s="62">
        <v>336.35</v>
      </c>
      <c r="G39" s="50"/>
      <c r="H39" s="28"/>
      <c r="I39" s="28"/>
      <c r="J39" s="13"/>
    </row>
    <row r="40" spans="1:10" ht="15" customHeight="1">
      <c r="B40" s="23"/>
      <c r="C40" s="46"/>
      <c r="D40" s="47"/>
      <c r="E40" s="48"/>
      <c r="F40" s="49">
        <f>SUM(F37:F39)</f>
        <v>1085</v>
      </c>
      <c r="G40" s="50"/>
      <c r="H40" s="28"/>
      <c r="I40" s="28"/>
      <c r="J40" s="13"/>
    </row>
    <row r="41" spans="1:10" ht="5.25" customHeight="1">
      <c r="B41" s="23"/>
      <c r="C41" s="46"/>
      <c r="D41" s="47"/>
      <c r="E41" s="48"/>
      <c r="F41" s="49"/>
      <c r="G41" s="50"/>
      <c r="H41" s="28"/>
      <c r="I41" s="28"/>
      <c r="J41" s="13"/>
    </row>
    <row r="42" spans="1:10" s="71" customFormat="1" ht="15.75" customHeight="1">
      <c r="A42" s="31" t="s">
        <v>52</v>
      </c>
      <c r="B42" s="73"/>
      <c r="C42" s="74"/>
      <c r="E42" s="75"/>
      <c r="F42" s="72">
        <f>SUM(F30+F35+F40)</f>
        <v>18968.75</v>
      </c>
      <c r="G42" s="76"/>
      <c r="H42" s="77"/>
      <c r="I42" s="77"/>
      <c r="J42" s="78"/>
    </row>
    <row r="43" spans="1:10" ht="15.75" customHeight="1">
      <c r="B43" s="23"/>
      <c r="C43" s="46"/>
      <c r="D43" s="47"/>
      <c r="E43" s="48"/>
      <c r="F43" s="59"/>
      <c r="G43" s="50"/>
      <c r="H43" s="28"/>
      <c r="I43" s="28"/>
      <c r="J43" s="13"/>
    </row>
    <row r="44" spans="1:10" ht="18" customHeight="1">
      <c r="A44" s="15" t="s">
        <v>13</v>
      </c>
      <c r="B44" s="23"/>
      <c r="C44" s="51"/>
      <c r="D44" s="43"/>
      <c r="E44" s="48">
        <v>7.6999999999999999E-2</v>
      </c>
      <c r="F44" s="52">
        <f>ROUND(F42*E44*20,0)/20</f>
        <v>1460.6</v>
      </c>
      <c r="G44" s="53"/>
      <c r="H44" s="28"/>
      <c r="I44" s="28"/>
      <c r="J44" s="13"/>
    </row>
    <row r="45" spans="1:10" ht="18" customHeight="1">
      <c r="A45" s="54"/>
      <c r="B45" s="55"/>
      <c r="C45" s="56"/>
      <c r="D45" s="57"/>
      <c r="E45" s="58"/>
      <c r="F45" s="59"/>
      <c r="G45" s="60"/>
      <c r="H45" s="28"/>
      <c r="I45" s="28"/>
      <c r="J45" s="13"/>
    </row>
    <row r="46" spans="1:10" s="31" customFormat="1" ht="14.25" customHeight="1">
      <c r="A46" s="31" t="s">
        <v>47</v>
      </c>
      <c r="B46" s="69"/>
      <c r="E46" s="54"/>
      <c r="F46" s="59">
        <f>F42+F44</f>
        <v>20429.349999999999</v>
      </c>
      <c r="G46" s="68"/>
      <c r="H46" s="70"/>
      <c r="I46" s="70"/>
      <c r="J46" s="19"/>
    </row>
  </sheetData>
  <mergeCells count="2">
    <mergeCell ref="A7:D8"/>
    <mergeCell ref="A20:G20"/>
  </mergeCells>
  <conditionalFormatting sqref="I3:I6">
    <cfRule type="expression" dxfId="7" priority="2">
      <formula>I3=""</formula>
    </cfRule>
  </conditionalFormatting>
  <conditionalFormatting sqref="I2">
    <cfRule type="expression" dxfId="6" priority="1">
      <formula>I2=""</formula>
    </cfRule>
  </conditionalFormatting>
  <pageMargins left="0.94488188976377963" right="0.70866141732283472" top="0.43307086614173229" bottom="0.17" header="0.99" footer="0.21"/>
  <pageSetup paperSize="9" scale="8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98305" r:id="rId5">
          <objectPr defaultSize="0" autoLine="0" autoPict="0" r:id="rId6">
            <anchor>
              <from>
                <xdr:col>0</xdr:col>
                <xdr:colOff>0</xdr:colOff>
                <xdr:row>99</xdr:row>
                <xdr:rowOff>161925</xdr:rowOff>
              </from>
              <to>
                <xdr:col>6</xdr:col>
                <xdr:colOff>790575</xdr:colOff>
                <xdr:row>101</xdr:row>
                <xdr:rowOff>104775</xdr:rowOff>
              </to>
            </anchor>
          </objectPr>
        </oleObject>
      </mc:Choice>
      <mc:Fallback>
        <oleObject progId="Word.Document.6" shapeId="98305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6" r:id="rId7" name="Button 2">
              <controlPr defaultSize="0" print="0" autoFill="0" autoPict="0" macro="[0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5">
    <tabColor theme="0"/>
    <pageSetUpPr fitToPage="1"/>
  </sheetPr>
  <dimension ref="A1:L46"/>
  <sheetViews>
    <sheetView showGridLines="0" topLeftCell="A7" zoomScaleNormal="100" workbookViewId="0">
      <selection activeCell="A22" sqref="A22"/>
    </sheetView>
  </sheetViews>
  <sheetFormatPr baseColWidth="10" defaultRowHeight="14.25"/>
  <cols>
    <col min="1" max="1" width="18.7109375" style="10" customWidth="1"/>
    <col min="2" max="2" width="12.85546875" style="10" customWidth="1"/>
    <col min="3" max="3" width="6.140625" style="10" customWidth="1"/>
    <col min="4" max="4" width="9.7109375" style="10" customWidth="1"/>
    <col min="5" max="5" width="12.7109375" style="10" customWidth="1"/>
    <col min="6" max="7" width="12.85546875" style="10" customWidth="1"/>
    <col min="8" max="8" width="21.85546875" style="10" customWidth="1"/>
    <col min="9" max="9" width="17.7109375" style="10" customWidth="1"/>
    <col min="10" max="16384" width="11.42578125" style="10"/>
  </cols>
  <sheetData>
    <row r="1" spans="1:12" ht="129.94999999999999" customHeight="1">
      <c r="A1" s="9"/>
      <c r="H1" s="11" t="s">
        <v>22</v>
      </c>
      <c r="I1" s="12" t="s">
        <v>48</v>
      </c>
      <c r="J1" s="13"/>
      <c r="K1" s="14"/>
      <c r="L1" s="14"/>
    </row>
    <row r="2" spans="1:12" ht="28.5">
      <c r="A2" s="15" t="str">
        <f>IF([1]Grunddaten!B8="","",[1]Grunddaten!B8)</f>
        <v>INGE EPSI</v>
      </c>
      <c r="H2" s="13" t="s">
        <v>23</v>
      </c>
      <c r="I2" s="80" t="s">
        <v>53</v>
      </c>
      <c r="J2" s="13"/>
    </row>
    <row r="3" spans="1:12">
      <c r="A3" s="15" t="str">
        <f>IF([1]Grunddaten!B9="","",[1]Grunddaten!B9)</f>
        <v>c/o Jauslin Stebler AG</v>
      </c>
      <c r="H3" s="13" t="s">
        <v>12</v>
      </c>
      <c r="I3" s="16" t="s">
        <v>46</v>
      </c>
      <c r="J3" s="13"/>
      <c r="K3" s="14"/>
    </row>
    <row r="4" spans="1:12">
      <c r="A4" s="15" t="str">
        <f>IF([1]Grunddaten!B10="","",[1]Grunddaten!B10)</f>
        <v>Gartenstrasse 15</v>
      </c>
      <c r="H4" s="13" t="s">
        <v>11</v>
      </c>
      <c r="I4" s="17">
        <v>2220313</v>
      </c>
      <c r="J4" s="13"/>
    </row>
    <row r="5" spans="1:12">
      <c r="A5" s="15" t="str">
        <f>IF([1]Grunddaten!B11="","",[1]Grunddaten!B11)</f>
        <v>4132 Muttenz</v>
      </c>
      <c r="H5" s="13" t="s">
        <v>7</v>
      </c>
      <c r="I5" s="18">
        <v>44634</v>
      </c>
      <c r="J5" s="13"/>
    </row>
    <row r="6" spans="1:12">
      <c r="A6" s="15"/>
      <c r="H6" s="13" t="s">
        <v>6</v>
      </c>
      <c r="I6" s="65">
        <v>44562</v>
      </c>
      <c r="J6" s="13"/>
    </row>
    <row r="7" spans="1:12" ht="14.25" customHeight="1">
      <c r="A7" s="82" t="s">
        <v>15</v>
      </c>
      <c r="B7" s="82"/>
      <c r="C7" s="82"/>
      <c r="D7" s="82"/>
      <c r="E7" s="20" t="s">
        <v>16</v>
      </c>
      <c r="F7" s="21" t="s">
        <v>9</v>
      </c>
      <c r="H7" s="13"/>
      <c r="I7" s="13"/>
      <c r="J7" s="13"/>
    </row>
    <row r="8" spans="1:12" ht="14.25" customHeight="1">
      <c r="A8" s="82"/>
      <c r="B8" s="82"/>
      <c r="C8" s="82"/>
      <c r="D8" s="82"/>
      <c r="E8" s="20" t="s">
        <v>19</v>
      </c>
      <c r="F8" s="20">
        <f>IF(I4="","",I4)</f>
        <v>2220313</v>
      </c>
      <c r="H8" s="13"/>
      <c r="I8" s="13"/>
      <c r="J8" s="13"/>
    </row>
    <row r="9" spans="1:12">
      <c r="E9" s="20" t="s">
        <v>17</v>
      </c>
      <c r="F9" s="22">
        <f>IF(I5="","",I5)</f>
        <v>44634</v>
      </c>
      <c r="H9" s="13"/>
      <c r="I9" s="13"/>
      <c r="J9" s="13"/>
    </row>
    <row r="10" spans="1:12">
      <c r="C10" s="23"/>
      <c r="E10" s="21" t="s">
        <v>20</v>
      </c>
      <c r="F10" s="79" t="str">
        <f>Grunddaten!B3&amp;I2&amp;"/"&amp;Grunddaten!B4&amp;"/"&amp;I3</f>
        <v>9246.100.230.231.250.350.430.450/FL/Beu</v>
      </c>
      <c r="G10" s="24"/>
      <c r="H10" s="13"/>
      <c r="I10" s="13"/>
      <c r="J10" s="13"/>
    </row>
    <row r="11" spans="1:12" s="24" customFormat="1">
      <c r="C11" s="25"/>
      <c r="D11" s="25"/>
      <c r="E11" s="21" t="s">
        <v>18</v>
      </c>
      <c r="F11" s="26" t="str">
        <f>[1]Grunddaten!B6&amp;" Tage netto"</f>
        <v>30 Tage netto</v>
      </c>
      <c r="G11" s="27"/>
      <c r="H11" s="28"/>
      <c r="I11" s="28"/>
      <c r="J11" s="28"/>
    </row>
    <row r="12" spans="1:12" ht="9.9499999999999993" customHeight="1">
      <c r="A12" s="15"/>
      <c r="B12" s="15"/>
      <c r="C12" s="23"/>
      <c r="E12" s="24"/>
      <c r="F12" s="24"/>
      <c r="G12" s="24"/>
      <c r="H12" s="19"/>
      <c r="I12" s="19"/>
      <c r="J12" s="19"/>
    </row>
    <row r="13" spans="1:12" s="31" customFormat="1" ht="15">
      <c r="A13" s="29" t="s">
        <v>28</v>
      </c>
      <c r="B13" s="29"/>
      <c r="C13" s="29"/>
      <c r="D13" s="29"/>
      <c r="E13" s="29"/>
      <c r="F13" s="29"/>
      <c r="G13" s="29"/>
      <c r="H13" s="30"/>
      <c r="I13" s="28"/>
      <c r="J13" s="13"/>
    </row>
    <row r="14" spans="1:12">
      <c r="A14" s="32" t="s">
        <v>32</v>
      </c>
      <c r="B14" s="32"/>
      <c r="C14" s="32"/>
      <c r="D14" s="32"/>
      <c r="E14" s="32"/>
      <c r="F14" s="32"/>
      <c r="G14" s="32"/>
      <c r="H14" s="28"/>
      <c r="I14" s="13"/>
      <c r="J14" s="13"/>
    </row>
    <row r="15" spans="1:12">
      <c r="A15" s="32" t="s">
        <v>29</v>
      </c>
      <c r="B15" s="33" t="s">
        <v>30</v>
      </c>
      <c r="C15" s="33"/>
      <c r="D15" s="33"/>
      <c r="E15" s="33"/>
      <c r="F15" s="33"/>
      <c r="G15" s="33"/>
      <c r="H15" s="28"/>
      <c r="I15" s="13"/>
      <c r="J15" s="13"/>
    </row>
    <row r="16" spans="1:12" ht="15">
      <c r="A16" s="29" t="s">
        <v>41</v>
      </c>
      <c r="B16" s="33"/>
      <c r="C16" s="33"/>
      <c r="D16" s="33"/>
      <c r="E16" s="33"/>
      <c r="F16" s="33"/>
      <c r="G16" s="33"/>
      <c r="H16" s="28"/>
      <c r="I16" s="28"/>
      <c r="J16" s="13"/>
    </row>
    <row r="17" spans="1:10" ht="6.75" customHeight="1">
      <c r="A17" s="32"/>
      <c r="B17" s="33"/>
      <c r="C17" s="33"/>
      <c r="D17" s="33"/>
      <c r="E17" s="33"/>
      <c r="F17" s="33"/>
      <c r="G17" s="33"/>
      <c r="H17" s="28"/>
      <c r="I17" s="28"/>
      <c r="J17" s="13"/>
    </row>
    <row r="18" spans="1:10">
      <c r="A18" s="23" t="s">
        <v>6</v>
      </c>
      <c r="B18" s="66" t="s">
        <v>56</v>
      </c>
      <c r="D18" s="34"/>
      <c r="E18" s="24"/>
      <c r="F18" s="27"/>
      <c r="G18" s="35"/>
      <c r="H18" s="28"/>
      <c r="I18" s="28"/>
      <c r="J18" s="13"/>
    </row>
    <row r="19" spans="1:10" ht="6.75" customHeight="1">
      <c r="B19" s="23"/>
      <c r="D19" s="34"/>
      <c r="E19" s="24"/>
      <c r="F19" s="27"/>
      <c r="G19" s="35"/>
      <c r="H19" s="28"/>
      <c r="I19" s="13"/>
      <c r="J19" s="13"/>
    </row>
    <row r="20" spans="1:10" ht="19.5" customHeight="1">
      <c r="A20" s="83" t="s">
        <v>31</v>
      </c>
      <c r="B20" s="83"/>
      <c r="C20" s="83"/>
      <c r="D20" s="83"/>
      <c r="E20" s="83"/>
      <c r="F20" s="83"/>
      <c r="G20" s="83"/>
      <c r="H20" s="28"/>
      <c r="I20" s="28"/>
      <c r="J20" s="13"/>
    </row>
    <row r="21" spans="1:10" s="21" customFormat="1" ht="12.75">
      <c r="A21" s="36"/>
      <c r="B21" s="36"/>
      <c r="C21" s="37"/>
      <c r="D21" s="38"/>
      <c r="E21" s="37"/>
      <c r="F21" s="39" t="s">
        <v>0</v>
      </c>
      <c r="G21" s="40" t="s">
        <v>0</v>
      </c>
      <c r="H21" s="41"/>
      <c r="I21" s="41"/>
      <c r="J21" s="42"/>
    </row>
    <row r="22" spans="1:10" ht="14.25" customHeight="1">
      <c r="A22" s="67" t="s">
        <v>56</v>
      </c>
      <c r="B22" s="23"/>
      <c r="D22" s="43"/>
      <c r="E22" s="24"/>
      <c r="F22" s="44"/>
      <c r="G22" s="45"/>
      <c r="H22" s="28"/>
      <c r="I22" s="28"/>
      <c r="J22" s="13"/>
    </row>
    <row r="23" spans="1:10" ht="14.25" customHeight="1">
      <c r="A23" s="61" t="s">
        <v>37</v>
      </c>
      <c r="B23" s="23"/>
      <c r="D23" s="43"/>
      <c r="E23" s="24"/>
      <c r="F23" s="44"/>
      <c r="G23" s="45"/>
      <c r="H23" s="28"/>
      <c r="I23" s="28"/>
      <c r="J23" s="13"/>
    </row>
    <row r="24" spans="1:10" ht="14.25" customHeight="1">
      <c r="A24" s="10" t="s">
        <v>38</v>
      </c>
      <c r="B24" s="23"/>
      <c r="C24" s="46"/>
      <c r="D24" s="47"/>
      <c r="E24" s="48"/>
      <c r="F24" s="49">
        <v>503</v>
      </c>
      <c r="G24" s="50"/>
      <c r="H24" s="28"/>
      <c r="I24" s="28"/>
      <c r="J24" s="13"/>
    </row>
    <row r="25" spans="1:10" ht="14.25" customHeight="1">
      <c r="A25" s="10" t="s">
        <v>39</v>
      </c>
      <c r="B25" s="23"/>
      <c r="C25" s="46"/>
      <c r="D25" s="47"/>
      <c r="E25" s="48"/>
      <c r="F25" s="49">
        <v>1181.25</v>
      </c>
      <c r="G25" s="50"/>
      <c r="H25" s="28"/>
      <c r="I25" s="28"/>
      <c r="J25" s="13"/>
    </row>
    <row r="26" spans="1:10" ht="14.25" customHeight="1">
      <c r="A26" s="10" t="s">
        <v>49</v>
      </c>
      <c r="B26" s="23"/>
      <c r="C26" s="46"/>
      <c r="D26" s="47"/>
      <c r="E26" s="48"/>
      <c r="F26" s="49">
        <v>4164.25</v>
      </c>
      <c r="G26" s="50"/>
      <c r="H26" s="28"/>
      <c r="I26" s="28"/>
      <c r="J26" s="13"/>
    </row>
    <row r="27" spans="1:10" ht="14.25" customHeight="1">
      <c r="A27" s="10" t="s">
        <v>40</v>
      </c>
      <c r="B27" s="23"/>
      <c r="C27" s="46"/>
      <c r="D27" s="47"/>
      <c r="E27" s="48"/>
      <c r="F27" s="49">
        <v>310</v>
      </c>
      <c r="G27" s="50"/>
      <c r="H27" s="28"/>
      <c r="I27" s="28"/>
      <c r="J27" s="13"/>
    </row>
    <row r="28" spans="1:10" ht="14.25" customHeight="1">
      <c r="A28" s="10" t="s">
        <v>50</v>
      </c>
      <c r="B28" s="23"/>
      <c r="C28" s="46"/>
      <c r="D28" s="47"/>
      <c r="E28" s="48"/>
      <c r="F28" s="49">
        <v>0</v>
      </c>
      <c r="G28" s="50"/>
      <c r="H28" s="28"/>
      <c r="I28" s="28"/>
      <c r="J28" s="13"/>
    </row>
    <row r="29" spans="1:10" ht="14.25" customHeight="1">
      <c r="A29" s="10" t="s">
        <v>51</v>
      </c>
      <c r="B29" s="23"/>
      <c r="C29" s="46"/>
      <c r="D29" s="47"/>
      <c r="E29" s="48"/>
      <c r="F29" s="62">
        <v>0</v>
      </c>
      <c r="G29" s="50"/>
      <c r="H29" s="28"/>
      <c r="I29" s="28"/>
      <c r="J29" s="13"/>
    </row>
    <row r="30" spans="1:10" ht="15" customHeight="1">
      <c r="B30" s="23"/>
      <c r="C30" s="46"/>
      <c r="D30" s="47"/>
      <c r="E30" s="48"/>
      <c r="F30" s="49">
        <f>SUM(F24:F29)</f>
        <v>6158.5</v>
      </c>
      <c r="G30" s="50"/>
      <c r="H30" s="28"/>
      <c r="I30" s="28"/>
      <c r="J30" s="13"/>
    </row>
    <row r="31" spans="1:10" ht="14.25" customHeight="1">
      <c r="A31" s="61" t="s">
        <v>42</v>
      </c>
      <c r="B31" s="23"/>
      <c r="D31" s="43"/>
      <c r="E31" s="24"/>
      <c r="F31" s="44"/>
      <c r="G31" s="45"/>
      <c r="H31" s="28"/>
      <c r="I31" s="28"/>
      <c r="J31" s="13"/>
    </row>
    <row r="32" spans="1:10" ht="14.25" customHeight="1">
      <c r="A32" s="10" t="s">
        <v>43</v>
      </c>
      <c r="B32" s="23"/>
      <c r="C32" s="46"/>
      <c r="D32" s="47"/>
      <c r="E32" s="48"/>
      <c r="F32" s="49">
        <v>20306</v>
      </c>
      <c r="G32" s="50"/>
      <c r="H32" s="28"/>
      <c r="I32" s="28"/>
      <c r="J32" s="13"/>
    </row>
    <row r="33" spans="1:10" ht="14.25" customHeight="1">
      <c r="A33" s="10" t="s">
        <v>45</v>
      </c>
      <c r="B33" s="23"/>
      <c r="C33" s="46"/>
      <c r="D33" s="47"/>
      <c r="E33" s="48"/>
      <c r="F33" s="49">
        <v>0</v>
      </c>
      <c r="G33" s="50"/>
      <c r="H33" s="28"/>
      <c r="I33" s="28"/>
      <c r="J33" s="13"/>
    </row>
    <row r="34" spans="1:10" ht="14.25" customHeight="1">
      <c r="A34" s="10" t="s">
        <v>44</v>
      </c>
      <c r="B34" s="23"/>
      <c r="C34" s="46"/>
      <c r="D34" s="47"/>
      <c r="E34" s="48"/>
      <c r="F34" s="62">
        <v>100</v>
      </c>
      <c r="G34" s="50"/>
      <c r="H34" s="28"/>
      <c r="I34" s="28"/>
      <c r="J34" s="13"/>
    </row>
    <row r="35" spans="1:10" ht="15" customHeight="1">
      <c r="B35" s="23"/>
      <c r="C35" s="46"/>
      <c r="D35" s="47"/>
      <c r="E35" s="48"/>
      <c r="F35" s="49">
        <f>SUM(F32:F34)</f>
        <v>20406</v>
      </c>
      <c r="G35" s="50"/>
      <c r="H35" s="28"/>
      <c r="I35" s="28"/>
      <c r="J35" s="13"/>
    </row>
    <row r="36" spans="1:10" ht="15" customHeight="1">
      <c r="A36" s="64" t="s">
        <v>42</v>
      </c>
      <c r="B36" s="23"/>
      <c r="C36" s="46"/>
      <c r="D36" s="47"/>
      <c r="E36" s="48"/>
      <c r="F36" s="49"/>
      <c r="G36" s="50"/>
      <c r="H36" s="28"/>
      <c r="I36" s="28"/>
      <c r="J36" s="13"/>
    </row>
    <row r="37" spans="1:10" ht="14.25" customHeight="1">
      <c r="A37" s="10" t="s">
        <v>34</v>
      </c>
      <c r="B37" s="23"/>
      <c r="C37" s="46"/>
      <c r="D37" s="47"/>
      <c r="E37" s="48"/>
      <c r="F37" s="49">
        <v>490</v>
      </c>
      <c r="G37" s="50"/>
      <c r="H37" s="28"/>
      <c r="I37" s="28"/>
      <c r="J37" s="13"/>
    </row>
    <row r="38" spans="1:10" ht="14.25" customHeight="1">
      <c r="A38" s="10" t="s">
        <v>33</v>
      </c>
      <c r="B38" s="23"/>
      <c r="C38" s="46"/>
      <c r="D38" s="47"/>
      <c r="E38" s="48"/>
      <c r="F38" s="49">
        <v>350</v>
      </c>
      <c r="G38" s="50"/>
      <c r="H38" s="28"/>
      <c r="I38" s="28"/>
      <c r="J38" s="13"/>
    </row>
    <row r="39" spans="1:10" ht="14.25" customHeight="1">
      <c r="A39" s="10" t="s">
        <v>35</v>
      </c>
      <c r="B39" s="23"/>
      <c r="C39" s="46"/>
      <c r="D39" s="47"/>
      <c r="E39" s="48"/>
      <c r="F39" s="62">
        <v>385</v>
      </c>
      <c r="G39" s="50"/>
      <c r="H39" s="28"/>
      <c r="I39" s="28"/>
      <c r="J39" s="13"/>
    </row>
    <row r="40" spans="1:10" ht="15" customHeight="1">
      <c r="B40" s="23"/>
      <c r="C40" s="46"/>
      <c r="D40" s="47"/>
      <c r="E40" s="48"/>
      <c r="F40" s="49">
        <f>SUM(F37:F39)</f>
        <v>1225</v>
      </c>
      <c r="G40" s="50"/>
      <c r="H40" s="28"/>
      <c r="I40" s="28"/>
      <c r="J40" s="13"/>
    </row>
    <row r="41" spans="1:10" ht="5.25" customHeight="1">
      <c r="B41" s="23"/>
      <c r="C41" s="46"/>
      <c r="D41" s="47"/>
      <c r="E41" s="48"/>
      <c r="F41" s="49"/>
      <c r="G41" s="50"/>
      <c r="H41" s="28"/>
      <c r="I41" s="28"/>
      <c r="J41" s="13"/>
    </row>
    <row r="42" spans="1:10" s="71" customFormat="1" ht="15.75" customHeight="1">
      <c r="A42" s="31" t="s">
        <v>52</v>
      </c>
      <c r="B42" s="73"/>
      <c r="C42" s="74"/>
      <c r="E42" s="75"/>
      <c r="F42" s="72">
        <f>SUM(F30+F35+F40)</f>
        <v>27789.5</v>
      </c>
      <c r="G42" s="76"/>
      <c r="H42" s="77"/>
      <c r="I42" s="77"/>
      <c r="J42" s="78"/>
    </row>
    <row r="43" spans="1:10" ht="15.75" customHeight="1">
      <c r="B43" s="23"/>
      <c r="C43" s="46"/>
      <c r="D43" s="47"/>
      <c r="E43" s="48"/>
      <c r="F43" s="59"/>
      <c r="G43" s="50"/>
      <c r="H43" s="28"/>
      <c r="I43" s="28"/>
      <c r="J43" s="13"/>
    </row>
    <row r="44" spans="1:10" ht="18" customHeight="1">
      <c r="A44" s="15" t="s">
        <v>13</v>
      </c>
      <c r="B44" s="23"/>
      <c r="C44" s="51"/>
      <c r="D44" s="43"/>
      <c r="E44" s="48">
        <v>7.6999999999999999E-2</v>
      </c>
      <c r="F44" s="52">
        <f>ROUND(F42*E44*20,0)/20</f>
        <v>2139.8000000000002</v>
      </c>
      <c r="G44" s="53"/>
      <c r="H44" s="28"/>
      <c r="I44" s="28"/>
      <c r="J44" s="13"/>
    </row>
    <row r="45" spans="1:10" ht="18" customHeight="1">
      <c r="A45" s="54"/>
      <c r="B45" s="55"/>
      <c r="C45" s="56"/>
      <c r="D45" s="57"/>
      <c r="E45" s="58"/>
      <c r="F45" s="59"/>
      <c r="G45" s="60"/>
      <c r="H45" s="28"/>
      <c r="I45" s="28"/>
      <c r="J45" s="13"/>
    </row>
    <row r="46" spans="1:10" s="31" customFormat="1" ht="14.25" customHeight="1">
      <c r="A46" s="31" t="s">
        <v>47</v>
      </c>
      <c r="B46" s="69"/>
      <c r="E46" s="54"/>
      <c r="F46" s="59">
        <f>F42+F44</f>
        <v>29929.3</v>
      </c>
      <c r="G46" s="68"/>
      <c r="H46" s="70"/>
      <c r="I46" s="70"/>
      <c r="J46" s="19"/>
    </row>
  </sheetData>
  <mergeCells count="2">
    <mergeCell ref="A7:D8"/>
    <mergeCell ref="A20:G20"/>
  </mergeCells>
  <conditionalFormatting sqref="I3:I6">
    <cfRule type="expression" dxfId="5" priority="2">
      <formula>I3=""</formula>
    </cfRule>
  </conditionalFormatting>
  <conditionalFormatting sqref="I2">
    <cfRule type="expression" dxfId="4" priority="1">
      <formula>I2=""</formula>
    </cfRule>
  </conditionalFormatting>
  <pageMargins left="0.94488188976377963" right="0.70866141732283472" top="0.43307086614173229" bottom="0.17" header="0.99" footer="0.21"/>
  <pageSetup paperSize="9" scale="8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99329" r:id="rId5">
          <objectPr defaultSize="0" autoLine="0" autoPict="0" r:id="rId6">
            <anchor>
              <from>
                <xdr:col>0</xdr:col>
                <xdr:colOff>0</xdr:colOff>
                <xdr:row>99</xdr:row>
                <xdr:rowOff>161925</xdr:rowOff>
              </from>
              <to>
                <xdr:col>6</xdr:col>
                <xdr:colOff>790575</xdr:colOff>
                <xdr:row>101</xdr:row>
                <xdr:rowOff>104775</xdr:rowOff>
              </to>
            </anchor>
          </objectPr>
        </oleObject>
      </mc:Choice>
      <mc:Fallback>
        <oleObject progId="Word.Document.6" shapeId="99329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30" r:id="rId7" name="Button 2">
              <controlPr defaultSize="0" print="0" autoFill="0" autoPict="0" macro="[0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6">
    <tabColor theme="0"/>
    <pageSetUpPr fitToPage="1"/>
  </sheetPr>
  <dimension ref="A1:L46"/>
  <sheetViews>
    <sheetView showGridLines="0" zoomScaleNormal="100" workbookViewId="0">
      <selection activeCell="L13" sqref="L13"/>
    </sheetView>
  </sheetViews>
  <sheetFormatPr baseColWidth="10" defaultRowHeight="14.25"/>
  <cols>
    <col min="1" max="1" width="18.7109375" style="10" customWidth="1"/>
    <col min="2" max="2" width="12.85546875" style="10" customWidth="1"/>
    <col min="3" max="3" width="6.140625" style="10" customWidth="1"/>
    <col min="4" max="4" width="9.7109375" style="10" customWidth="1"/>
    <col min="5" max="5" width="12.7109375" style="10" customWidth="1"/>
    <col min="6" max="7" width="12.85546875" style="10" customWidth="1"/>
    <col min="8" max="8" width="21.85546875" style="10" customWidth="1"/>
    <col min="9" max="9" width="17.7109375" style="10" customWidth="1"/>
    <col min="10" max="16384" width="11.42578125" style="10"/>
  </cols>
  <sheetData>
    <row r="1" spans="1:12" ht="129.94999999999999" customHeight="1">
      <c r="A1" s="9"/>
      <c r="H1" s="11" t="s">
        <v>22</v>
      </c>
      <c r="I1" s="12" t="s">
        <v>48</v>
      </c>
      <c r="J1" s="13"/>
      <c r="K1" s="14"/>
      <c r="L1" s="14"/>
    </row>
    <row r="2" spans="1:12" ht="28.5">
      <c r="A2" s="15" t="str">
        <f>IF([1]Grunddaten!B8="","",[1]Grunddaten!B8)</f>
        <v>INGE EPSI</v>
      </c>
      <c r="H2" s="13" t="s">
        <v>23</v>
      </c>
      <c r="I2" s="80" t="s">
        <v>58</v>
      </c>
      <c r="J2" s="13"/>
    </row>
    <row r="3" spans="1:12">
      <c r="A3" s="15" t="str">
        <f>IF([1]Grunddaten!B9="","",[1]Grunddaten!B9)</f>
        <v>c/o Jauslin Stebler AG</v>
      </c>
      <c r="H3" s="13" t="s">
        <v>12</v>
      </c>
      <c r="I3" s="16" t="s">
        <v>46</v>
      </c>
      <c r="J3" s="13"/>
      <c r="K3" s="14"/>
    </row>
    <row r="4" spans="1:12">
      <c r="A4" s="15" t="str">
        <f>IF([1]Grunddaten!B10="","",[1]Grunddaten!B10)</f>
        <v>Gartenstrasse 15</v>
      </c>
      <c r="H4" s="13" t="s">
        <v>11</v>
      </c>
      <c r="I4" s="17">
        <v>2220434</v>
      </c>
      <c r="J4" s="13"/>
    </row>
    <row r="5" spans="1:12">
      <c r="A5" s="15" t="str">
        <f>IF([1]Grunddaten!B11="","",[1]Grunddaten!B11)</f>
        <v>4132 Muttenz</v>
      </c>
      <c r="H5" s="13" t="s">
        <v>7</v>
      </c>
      <c r="I5" s="18">
        <v>44658</v>
      </c>
      <c r="J5" s="13"/>
    </row>
    <row r="6" spans="1:12">
      <c r="A6" s="15"/>
      <c r="H6" s="13" t="s">
        <v>6</v>
      </c>
      <c r="I6" s="65">
        <v>44621</v>
      </c>
      <c r="J6" s="13"/>
    </row>
    <row r="7" spans="1:12" ht="14.25" customHeight="1">
      <c r="A7" s="82" t="s">
        <v>15</v>
      </c>
      <c r="B7" s="82"/>
      <c r="C7" s="82"/>
      <c r="D7" s="82"/>
      <c r="E7" s="20" t="s">
        <v>16</v>
      </c>
      <c r="F7" s="21" t="s">
        <v>9</v>
      </c>
      <c r="H7" s="13"/>
      <c r="I7" s="13"/>
      <c r="J7" s="13"/>
    </row>
    <row r="8" spans="1:12" ht="14.25" customHeight="1">
      <c r="A8" s="82"/>
      <c r="B8" s="82"/>
      <c r="C8" s="82"/>
      <c r="D8" s="82"/>
      <c r="E8" s="20" t="s">
        <v>19</v>
      </c>
      <c r="F8" s="20">
        <v>2220434</v>
      </c>
      <c r="H8" s="13"/>
      <c r="I8" s="13"/>
      <c r="J8" s="13"/>
    </row>
    <row r="9" spans="1:12">
      <c r="E9" s="20" t="s">
        <v>17</v>
      </c>
      <c r="F9" s="22">
        <v>44658</v>
      </c>
      <c r="H9" s="13"/>
      <c r="I9" s="13"/>
      <c r="J9" s="13"/>
    </row>
    <row r="10" spans="1:12">
      <c r="C10" s="23"/>
      <c r="E10" s="21" t="s">
        <v>20</v>
      </c>
      <c r="F10" s="79" t="str">
        <f>Grunddaten!B3&amp;I2&amp;"/"&amp;Grunddaten!B4&amp;"/"&amp;I3</f>
        <v>9246.100.230.330.430.450/FL/Beu</v>
      </c>
      <c r="G10" s="24"/>
      <c r="H10" s="13"/>
      <c r="I10" s="13"/>
      <c r="J10" s="13"/>
    </row>
    <row r="11" spans="1:12" s="24" customFormat="1">
      <c r="C11" s="25"/>
      <c r="D11" s="25"/>
      <c r="E11" s="21" t="s">
        <v>18</v>
      </c>
      <c r="F11" s="26" t="str">
        <f>[1]Grunddaten!B6&amp;" Tage netto"</f>
        <v>30 Tage netto</v>
      </c>
      <c r="G11" s="27"/>
      <c r="H11" s="28"/>
      <c r="I11" s="28"/>
      <c r="J11" s="28"/>
    </row>
    <row r="12" spans="1:12" ht="9.9499999999999993" customHeight="1">
      <c r="A12" s="15"/>
      <c r="B12" s="15"/>
      <c r="C12" s="23"/>
      <c r="E12" s="24"/>
      <c r="F12" s="24"/>
      <c r="G12" s="24"/>
      <c r="H12" s="19"/>
      <c r="I12" s="19"/>
      <c r="J12" s="19"/>
    </row>
    <row r="13" spans="1:12" s="31" customFormat="1" ht="15">
      <c r="A13" s="29" t="s">
        <v>28</v>
      </c>
      <c r="B13" s="29"/>
      <c r="C13" s="29"/>
      <c r="D13" s="29"/>
      <c r="E13" s="29"/>
      <c r="F13" s="29"/>
      <c r="G13" s="29"/>
      <c r="H13" s="30"/>
      <c r="I13" s="28"/>
      <c r="J13" s="13"/>
    </row>
    <row r="14" spans="1:12">
      <c r="A14" s="32" t="s">
        <v>32</v>
      </c>
      <c r="B14" s="32"/>
      <c r="C14" s="32"/>
      <c r="D14" s="32"/>
      <c r="E14" s="32"/>
      <c r="F14" s="32"/>
      <c r="G14" s="32"/>
      <c r="H14" s="28"/>
      <c r="I14" s="13"/>
      <c r="J14" s="13"/>
    </row>
    <row r="15" spans="1:12">
      <c r="A15" s="32" t="s">
        <v>29</v>
      </c>
      <c r="B15" s="33" t="s">
        <v>30</v>
      </c>
      <c r="C15" s="33"/>
      <c r="D15" s="33"/>
      <c r="E15" s="33"/>
      <c r="F15" s="33"/>
      <c r="G15" s="33"/>
      <c r="H15" s="28"/>
      <c r="I15" s="13"/>
      <c r="J15" s="13"/>
    </row>
    <row r="16" spans="1:12" ht="15">
      <c r="A16" s="29" t="s">
        <v>41</v>
      </c>
      <c r="B16" s="33"/>
      <c r="C16" s="33"/>
      <c r="D16" s="33"/>
      <c r="E16" s="33"/>
      <c r="F16" s="33"/>
      <c r="G16" s="33"/>
      <c r="H16" s="28"/>
      <c r="I16" s="28"/>
      <c r="J16" s="13"/>
    </row>
    <row r="17" spans="1:10" ht="6.75" customHeight="1">
      <c r="A17" s="32"/>
      <c r="B17" s="33"/>
      <c r="C17" s="33"/>
      <c r="D17" s="33"/>
      <c r="E17" s="33"/>
      <c r="F17" s="33"/>
      <c r="G17" s="33"/>
      <c r="H17" s="28"/>
      <c r="I17" s="28"/>
      <c r="J17" s="13"/>
    </row>
    <row r="18" spans="1:10">
      <c r="A18" s="23" t="s">
        <v>6</v>
      </c>
      <c r="B18" s="66" t="s">
        <v>57</v>
      </c>
      <c r="D18" s="34"/>
      <c r="E18" s="24"/>
      <c r="F18" s="27"/>
      <c r="G18" s="35"/>
      <c r="H18" s="28"/>
      <c r="I18" s="28"/>
      <c r="J18" s="13"/>
    </row>
    <row r="19" spans="1:10" ht="6.75" customHeight="1">
      <c r="B19" s="23"/>
      <c r="D19" s="34"/>
      <c r="E19" s="24"/>
      <c r="F19" s="27"/>
      <c r="G19" s="35"/>
      <c r="H19" s="28"/>
      <c r="I19" s="13"/>
      <c r="J19" s="13"/>
    </row>
    <row r="20" spans="1:10" ht="19.5" customHeight="1">
      <c r="A20" s="83" t="s">
        <v>31</v>
      </c>
      <c r="B20" s="83"/>
      <c r="C20" s="83"/>
      <c r="D20" s="83"/>
      <c r="E20" s="83"/>
      <c r="F20" s="83"/>
      <c r="G20" s="83"/>
      <c r="H20" s="28"/>
      <c r="I20" s="28"/>
      <c r="J20" s="13"/>
    </row>
    <row r="21" spans="1:10" s="21" customFormat="1" ht="12.75">
      <c r="A21" s="36"/>
      <c r="B21" s="36"/>
      <c r="C21" s="37"/>
      <c r="D21" s="38"/>
      <c r="E21" s="37"/>
      <c r="F21" s="39" t="s">
        <v>0</v>
      </c>
      <c r="G21" s="40" t="s">
        <v>0</v>
      </c>
      <c r="H21" s="41"/>
      <c r="I21" s="41"/>
      <c r="J21" s="42"/>
    </row>
    <row r="22" spans="1:10" ht="14.25" customHeight="1">
      <c r="A22" s="67" t="s">
        <v>57</v>
      </c>
      <c r="B22" s="23"/>
      <c r="D22" s="43"/>
      <c r="E22" s="24"/>
      <c r="F22" s="44"/>
      <c r="G22" s="45"/>
      <c r="H22" s="28"/>
      <c r="I22" s="28"/>
      <c r="J22" s="13"/>
    </row>
    <row r="23" spans="1:10" ht="14.25" customHeight="1">
      <c r="A23" s="61" t="s">
        <v>37</v>
      </c>
      <c r="B23" s="23"/>
      <c r="D23" s="43"/>
      <c r="E23" s="24"/>
      <c r="F23" s="44"/>
      <c r="G23" s="45"/>
      <c r="H23" s="28"/>
      <c r="I23" s="28"/>
      <c r="J23" s="13"/>
    </row>
    <row r="24" spans="1:10" ht="14.25" customHeight="1">
      <c r="A24" s="10" t="s">
        <v>38</v>
      </c>
      <c r="B24" s="23"/>
      <c r="C24" s="46"/>
      <c r="D24" s="47"/>
      <c r="E24" s="48"/>
      <c r="F24" s="49">
        <v>1443</v>
      </c>
      <c r="G24" s="50"/>
      <c r="H24" s="28"/>
      <c r="I24" s="28"/>
      <c r="J24" s="13"/>
    </row>
    <row r="25" spans="1:10" ht="14.25" customHeight="1">
      <c r="A25" s="10" t="s">
        <v>39</v>
      </c>
      <c r="B25" s="23"/>
      <c r="C25" s="46"/>
      <c r="D25" s="47"/>
      <c r="E25" s="48"/>
      <c r="F25" s="49">
        <v>3690.25</v>
      </c>
      <c r="G25" s="50"/>
      <c r="H25" s="28"/>
      <c r="I25" s="28"/>
      <c r="J25" s="13"/>
    </row>
    <row r="26" spans="1:10" ht="14.25" customHeight="1">
      <c r="A26" s="10" t="s">
        <v>49</v>
      </c>
      <c r="B26" s="23"/>
      <c r="C26" s="46"/>
      <c r="D26" s="47"/>
      <c r="E26" s="48"/>
      <c r="F26" s="49">
        <v>0</v>
      </c>
      <c r="G26" s="50"/>
      <c r="H26" s="28"/>
      <c r="I26" s="28"/>
      <c r="J26" s="13"/>
    </row>
    <row r="27" spans="1:10" ht="14.25" customHeight="1">
      <c r="A27" s="10" t="s">
        <v>40</v>
      </c>
      <c r="B27" s="23"/>
      <c r="C27" s="46"/>
      <c r="D27" s="47"/>
      <c r="E27" s="48"/>
      <c r="F27" s="49">
        <v>3020</v>
      </c>
      <c r="G27" s="50"/>
      <c r="H27" s="28"/>
      <c r="I27" s="28"/>
      <c r="J27" s="13"/>
    </row>
    <row r="28" spans="1:10" ht="14.25" customHeight="1">
      <c r="A28" s="10" t="s">
        <v>50</v>
      </c>
      <c r="B28" s="23"/>
      <c r="C28" s="46"/>
      <c r="D28" s="47"/>
      <c r="E28" s="48"/>
      <c r="F28" s="49">
        <v>0</v>
      </c>
      <c r="G28" s="50"/>
      <c r="H28" s="28"/>
      <c r="I28" s="28"/>
      <c r="J28" s="13"/>
    </row>
    <row r="29" spans="1:10" ht="14.25" customHeight="1">
      <c r="A29" s="10" t="s">
        <v>51</v>
      </c>
      <c r="B29" s="23"/>
      <c r="C29" s="46"/>
      <c r="D29" s="47"/>
      <c r="E29" s="48"/>
      <c r="F29" s="62">
        <v>0</v>
      </c>
      <c r="G29" s="50"/>
      <c r="H29" s="28"/>
      <c r="I29" s="28"/>
      <c r="J29" s="13"/>
    </row>
    <row r="30" spans="1:10" ht="15" customHeight="1">
      <c r="B30" s="23"/>
      <c r="C30" s="46"/>
      <c r="D30" s="47"/>
      <c r="E30" s="48"/>
      <c r="F30" s="49">
        <f>SUM(F24:F29)</f>
        <v>8153.25</v>
      </c>
      <c r="G30" s="50"/>
      <c r="H30" s="28"/>
      <c r="I30" s="28"/>
      <c r="J30" s="13"/>
    </row>
    <row r="31" spans="1:10" ht="14.25" customHeight="1">
      <c r="A31" s="61" t="s">
        <v>42</v>
      </c>
      <c r="B31" s="23"/>
      <c r="D31" s="43"/>
      <c r="E31" s="24"/>
      <c r="F31" s="44"/>
      <c r="G31" s="45"/>
      <c r="H31" s="28"/>
      <c r="I31" s="28"/>
      <c r="J31" s="13"/>
    </row>
    <row r="32" spans="1:10" ht="14.25" customHeight="1">
      <c r="A32" s="10" t="s">
        <v>43</v>
      </c>
      <c r="B32" s="23"/>
      <c r="C32" s="46"/>
      <c r="D32" s="47"/>
      <c r="E32" s="48"/>
      <c r="F32" s="49">
        <v>22548.25</v>
      </c>
      <c r="G32" s="50"/>
      <c r="H32" s="28"/>
      <c r="I32" s="28"/>
      <c r="J32" s="13"/>
    </row>
    <row r="33" spans="1:10" ht="14.25" customHeight="1">
      <c r="A33" s="10" t="s">
        <v>45</v>
      </c>
      <c r="B33" s="23"/>
      <c r="C33" s="46"/>
      <c r="D33" s="47"/>
      <c r="E33" s="48"/>
      <c r="F33" s="49">
        <v>0</v>
      </c>
      <c r="G33" s="50"/>
      <c r="H33" s="28"/>
      <c r="I33" s="28"/>
      <c r="J33" s="13"/>
    </row>
    <row r="34" spans="1:10" ht="14.25" customHeight="1">
      <c r="A34" s="10" t="s">
        <v>44</v>
      </c>
      <c r="B34" s="23"/>
      <c r="C34" s="46"/>
      <c r="D34" s="47"/>
      <c r="E34" s="48"/>
      <c r="F34" s="62">
        <v>0</v>
      </c>
      <c r="G34" s="50"/>
      <c r="H34" s="28"/>
      <c r="I34" s="28"/>
      <c r="J34" s="13"/>
    </row>
    <row r="35" spans="1:10" ht="15" customHeight="1">
      <c r="B35" s="23"/>
      <c r="C35" s="46"/>
      <c r="D35" s="47"/>
      <c r="E35" s="48"/>
      <c r="F35" s="49">
        <f>SUM(F32:F34)</f>
        <v>22548.25</v>
      </c>
      <c r="G35" s="50"/>
      <c r="H35" s="28"/>
      <c r="I35" s="28"/>
      <c r="J35" s="13"/>
    </row>
    <row r="36" spans="1:10" ht="15" customHeight="1">
      <c r="A36" s="64" t="s">
        <v>42</v>
      </c>
      <c r="B36" s="23"/>
      <c r="C36" s="46"/>
      <c r="D36" s="47"/>
      <c r="E36" s="48"/>
      <c r="F36" s="49"/>
      <c r="G36" s="50"/>
      <c r="H36" s="28"/>
      <c r="I36" s="28"/>
      <c r="J36" s="13"/>
    </row>
    <row r="37" spans="1:10" ht="14.25" customHeight="1">
      <c r="A37" s="10" t="s">
        <v>34</v>
      </c>
      <c r="B37" s="23"/>
      <c r="C37" s="46"/>
      <c r="D37" s="47"/>
      <c r="E37" s="48"/>
      <c r="F37" s="49">
        <v>595</v>
      </c>
      <c r="G37" s="50"/>
      <c r="H37" s="28"/>
      <c r="I37" s="28"/>
      <c r="J37" s="13"/>
    </row>
    <row r="38" spans="1:10" ht="14.25" customHeight="1">
      <c r="A38" s="10" t="s">
        <v>33</v>
      </c>
      <c r="B38" s="23"/>
      <c r="C38" s="46"/>
      <c r="D38" s="47"/>
      <c r="E38" s="48"/>
      <c r="F38" s="49">
        <v>385</v>
      </c>
      <c r="G38" s="50"/>
      <c r="H38" s="28"/>
      <c r="I38" s="28"/>
      <c r="J38" s="13"/>
    </row>
    <row r="39" spans="1:10" ht="14.25" customHeight="1">
      <c r="A39" s="10" t="s">
        <v>35</v>
      </c>
      <c r="B39" s="23"/>
      <c r="C39" s="46"/>
      <c r="D39" s="47"/>
      <c r="E39" s="48"/>
      <c r="F39" s="62">
        <v>420</v>
      </c>
      <c r="G39" s="50"/>
      <c r="H39" s="28"/>
      <c r="I39" s="28"/>
      <c r="J39" s="13"/>
    </row>
    <row r="40" spans="1:10" ht="15" customHeight="1">
      <c r="B40" s="23"/>
      <c r="C40" s="46"/>
      <c r="D40" s="47"/>
      <c r="E40" s="48"/>
      <c r="F40" s="49">
        <f>SUM(F37:F39)</f>
        <v>1400</v>
      </c>
      <c r="G40" s="50"/>
      <c r="H40" s="28"/>
      <c r="I40" s="28"/>
      <c r="J40" s="13"/>
    </row>
    <row r="41" spans="1:10" ht="5.25" customHeight="1">
      <c r="B41" s="23"/>
      <c r="C41" s="46"/>
      <c r="D41" s="47"/>
      <c r="E41" s="48"/>
      <c r="F41" s="49"/>
      <c r="G41" s="50"/>
      <c r="H41" s="28"/>
      <c r="I41" s="28"/>
      <c r="J41" s="13"/>
    </row>
    <row r="42" spans="1:10" s="71" customFormat="1" ht="15.75" customHeight="1">
      <c r="A42" s="31" t="s">
        <v>52</v>
      </c>
      <c r="B42" s="73"/>
      <c r="C42" s="74"/>
      <c r="E42" s="75"/>
      <c r="F42" s="72">
        <f>SUM(F30+F35+F40)</f>
        <v>32101.5</v>
      </c>
      <c r="G42" s="76"/>
      <c r="H42" s="77"/>
      <c r="I42" s="77"/>
      <c r="J42" s="78"/>
    </row>
    <row r="43" spans="1:10" ht="15.75" customHeight="1">
      <c r="B43" s="23"/>
      <c r="C43" s="46"/>
      <c r="D43" s="47"/>
      <c r="E43" s="48"/>
      <c r="F43" s="59"/>
      <c r="G43" s="50"/>
      <c r="H43" s="28"/>
      <c r="I43" s="28"/>
      <c r="J43" s="13"/>
    </row>
    <row r="44" spans="1:10" ht="18" customHeight="1">
      <c r="A44" s="15" t="s">
        <v>13</v>
      </c>
      <c r="B44" s="23"/>
      <c r="C44" s="51"/>
      <c r="D44" s="43"/>
      <c r="E44" s="48">
        <v>7.6999999999999999E-2</v>
      </c>
      <c r="F44" s="52">
        <f>ROUND(F42*E44*20,0)/20</f>
        <v>2471.8000000000002</v>
      </c>
      <c r="G44" s="53"/>
      <c r="H44" s="28"/>
      <c r="I44" s="28"/>
      <c r="J44" s="13"/>
    </row>
    <row r="45" spans="1:10" ht="18" customHeight="1">
      <c r="A45" s="54"/>
      <c r="B45" s="55"/>
      <c r="C45" s="56"/>
      <c r="D45" s="57"/>
      <c r="E45" s="58"/>
      <c r="F45" s="59"/>
      <c r="G45" s="60"/>
      <c r="H45" s="28"/>
      <c r="I45" s="28"/>
      <c r="J45" s="13"/>
    </row>
    <row r="46" spans="1:10" s="31" customFormat="1" ht="14.25" customHeight="1">
      <c r="A46" s="31" t="s">
        <v>47</v>
      </c>
      <c r="B46" s="69"/>
      <c r="E46" s="54"/>
      <c r="F46" s="59">
        <f>F42+F44</f>
        <v>34573.300000000003</v>
      </c>
      <c r="G46" s="68"/>
      <c r="H46" s="70"/>
      <c r="I46" s="70"/>
      <c r="J46" s="19"/>
    </row>
  </sheetData>
  <mergeCells count="2">
    <mergeCell ref="A7:D8"/>
    <mergeCell ref="A20:G20"/>
  </mergeCells>
  <conditionalFormatting sqref="I3:I6">
    <cfRule type="expression" dxfId="3" priority="2">
      <formula>I3=""</formula>
    </cfRule>
  </conditionalFormatting>
  <conditionalFormatting sqref="I2">
    <cfRule type="expression" dxfId="2" priority="1">
      <formula>I2=""</formula>
    </cfRule>
  </conditionalFormatting>
  <pageMargins left="0.94488188976377963" right="0.70866141732283472" top="0.43307086614173229" bottom="0.17" header="0.99" footer="0.21"/>
  <pageSetup paperSize="9" scale="8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100353" r:id="rId5">
          <objectPr defaultSize="0" autoLine="0" autoPict="0" r:id="rId6">
            <anchor>
              <from>
                <xdr:col>0</xdr:col>
                <xdr:colOff>0</xdr:colOff>
                <xdr:row>99</xdr:row>
                <xdr:rowOff>161925</xdr:rowOff>
              </from>
              <to>
                <xdr:col>6</xdr:col>
                <xdr:colOff>790575</xdr:colOff>
                <xdr:row>101</xdr:row>
                <xdr:rowOff>104775</xdr:rowOff>
              </to>
            </anchor>
          </objectPr>
        </oleObject>
      </mc:Choice>
      <mc:Fallback>
        <oleObject progId="Word.Document.6" shapeId="100353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4" r:id="rId7" name="Button 2">
              <controlPr defaultSize="0" print="0" autoFill="0" autoPict="0" macro="[0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7">
    <tabColor theme="0"/>
    <pageSetUpPr fitToPage="1"/>
  </sheetPr>
  <dimension ref="A1:L46"/>
  <sheetViews>
    <sheetView showGridLines="0" tabSelected="1" zoomScaleNormal="100" workbookViewId="0">
      <selection activeCell="N17" sqref="N17"/>
    </sheetView>
  </sheetViews>
  <sheetFormatPr baseColWidth="10" defaultRowHeight="14.25"/>
  <cols>
    <col min="1" max="1" width="18.7109375" style="10" customWidth="1"/>
    <col min="2" max="2" width="12.85546875" style="10" customWidth="1"/>
    <col min="3" max="3" width="6.140625" style="10" customWidth="1"/>
    <col min="4" max="4" width="9.7109375" style="10" customWidth="1"/>
    <col min="5" max="5" width="12.7109375" style="10" customWidth="1"/>
    <col min="6" max="7" width="12.85546875" style="10" customWidth="1"/>
    <col min="8" max="8" width="21.85546875" style="10" customWidth="1"/>
    <col min="9" max="9" width="17.7109375" style="10" customWidth="1"/>
    <col min="10" max="16384" width="11.42578125" style="10"/>
  </cols>
  <sheetData>
    <row r="1" spans="1:12" ht="129.94999999999999" customHeight="1">
      <c r="A1" s="9"/>
      <c r="H1" s="11" t="s">
        <v>22</v>
      </c>
      <c r="I1" s="12" t="s">
        <v>48</v>
      </c>
      <c r="J1" s="13"/>
      <c r="K1" s="14"/>
      <c r="L1" s="14"/>
    </row>
    <row r="2" spans="1:12">
      <c r="A2" s="15" t="str">
        <f>IF([1]Grunddaten!B8="","",[1]Grunddaten!B8)</f>
        <v>INGE EPSI</v>
      </c>
      <c r="H2" s="13" t="s">
        <v>23</v>
      </c>
      <c r="I2" s="80" t="s">
        <v>59</v>
      </c>
      <c r="J2" s="13"/>
    </row>
    <row r="3" spans="1:12">
      <c r="A3" s="15" t="str">
        <f>IF([1]Grunddaten!B9="","",[1]Grunddaten!B9)</f>
        <v>c/o Jauslin Stebler AG</v>
      </c>
      <c r="H3" s="13" t="s">
        <v>12</v>
      </c>
      <c r="I3" s="16" t="s">
        <v>46</v>
      </c>
      <c r="J3" s="13"/>
      <c r="K3" s="14"/>
    </row>
    <row r="4" spans="1:12">
      <c r="A4" s="15" t="str">
        <f>IF([1]Grunddaten!B10="","",[1]Grunddaten!B10)</f>
        <v>Gartenstrasse 15</v>
      </c>
      <c r="H4" s="13" t="s">
        <v>11</v>
      </c>
      <c r="I4" s="17">
        <v>2220629</v>
      </c>
      <c r="J4" s="13"/>
    </row>
    <row r="5" spans="1:12">
      <c r="A5" s="15" t="str">
        <f>IF([1]Grunddaten!B11="","",[1]Grunddaten!B11)</f>
        <v>4132 Muttenz</v>
      </c>
      <c r="H5" s="13" t="s">
        <v>7</v>
      </c>
      <c r="I5" s="18">
        <v>44694</v>
      </c>
      <c r="J5" s="13"/>
    </row>
    <row r="6" spans="1:12">
      <c r="A6" s="15"/>
      <c r="H6" s="13" t="s">
        <v>6</v>
      </c>
      <c r="I6" s="65">
        <v>44652</v>
      </c>
      <c r="J6" s="13"/>
    </row>
    <row r="7" spans="1:12" ht="14.25" customHeight="1">
      <c r="A7" s="82" t="s">
        <v>15</v>
      </c>
      <c r="B7" s="82"/>
      <c r="C7" s="82"/>
      <c r="D7" s="82"/>
      <c r="E7" s="20" t="s">
        <v>16</v>
      </c>
      <c r="F7" s="21" t="s">
        <v>9</v>
      </c>
      <c r="H7" s="13"/>
      <c r="I7" s="13"/>
      <c r="J7" s="13"/>
    </row>
    <row r="8" spans="1:12" ht="14.25" customHeight="1">
      <c r="A8" s="82"/>
      <c r="B8" s="82"/>
      <c r="C8" s="82"/>
      <c r="D8" s="82"/>
      <c r="E8" s="20" t="s">
        <v>19</v>
      </c>
      <c r="F8" s="20">
        <v>2220629</v>
      </c>
      <c r="H8" s="13"/>
      <c r="I8" s="13"/>
      <c r="J8" s="13"/>
    </row>
    <row r="9" spans="1:12">
      <c r="E9" s="20" t="s">
        <v>17</v>
      </c>
      <c r="F9" s="22">
        <v>44694</v>
      </c>
      <c r="H9" s="13"/>
      <c r="I9" s="13"/>
      <c r="J9" s="13"/>
    </row>
    <row r="10" spans="1:12">
      <c r="C10" s="23"/>
      <c r="E10" s="21" t="s">
        <v>20</v>
      </c>
      <c r="F10" s="79" t="str">
        <f>Grunddaten!B3&amp;I2&amp;"/"&amp;Grunddaten!B4&amp;"/"&amp;I3</f>
        <v>9246.330.430.450/FL/Beu</v>
      </c>
      <c r="G10" s="24"/>
      <c r="H10" s="13"/>
      <c r="I10" s="13"/>
      <c r="J10" s="13"/>
    </row>
    <row r="11" spans="1:12" s="24" customFormat="1">
      <c r="C11" s="25"/>
      <c r="D11" s="25"/>
      <c r="E11" s="21" t="s">
        <v>18</v>
      </c>
      <c r="F11" s="26" t="str">
        <f>[1]Grunddaten!B6&amp;" Tage netto"</f>
        <v>30 Tage netto</v>
      </c>
      <c r="G11" s="27"/>
      <c r="H11" s="28"/>
      <c r="I11" s="28"/>
      <c r="J11" s="28"/>
    </row>
    <row r="12" spans="1:12" ht="9.9499999999999993" customHeight="1">
      <c r="A12" s="15"/>
      <c r="B12" s="15"/>
      <c r="C12" s="23"/>
      <c r="E12" s="24"/>
      <c r="F12" s="24"/>
      <c r="G12" s="24"/>
      <c r="H12" s="19"/>
      <c r="I12" s="19"/>
      <c r="J12" s="19"/>
    </row>
    <row r="13" spans="1:12" s="31" customFormat="1" ht="15">
      <c r="A13" s="29" t="s">
        <v>28</v>
      </c>
      <c r="B13" s="29"/>
      <c r="C13" s="29"/>
      <c r="D13" s="29"/>
      <c r="E13" s="29"/>
      <c r="F13" s="29"/>
      <c r="G13" s="29"/>
      <c r="H13" s="30"/>
      <c r="I13" s="28"/>
      <c r="J13" s="13"/>
    </row>
    <row r="14" spans="1:12">
      <c r="A14" s="32" t="s">
        <v>32</v>
      </c>
      <c r="B14" s="32"/>
      <c r="C14" s="32"/>
      <c r="D14" s="32"/>
      <c r="E14" s="32"/>
      <c r="F14" s="32"/>
      <c r="G14" s="32"/>
      <c r="H14" s="28"/>
      <c r="I14" s="13"/>
      <c r="J14" s="13"/>
    </row>
    <row r="15" spans="1:12">
      <c r="A15" s="32" t="s">
        <v>29</v>
      </c>
      <c r="B15" s="33" t="s">
        <v>30</v>
      </c>
      <c r="C15" s="33"/>
      <c r="D15" s="33"/>
      <c r="E15" s="33"/>
      <c r="F15" s="33"/>
      <c r="G15" s="33"/>
      <c r="H15" s="28"/>
      <c r="I15" s="13"/>
      <c r="J15" s="13"/>
    </row>
    <row r="16" spans="1:12" ht="15">
      <c r="A16" s="29" t="s">
        <v>41</v>
      </c>
      <c r="B16" s="33"/>
      <c r="C16" s="33"/>
      <c r="D16" s="33"/>
      <c r="E16" s="33"/>
      <c r="F16" s="33"/>
      <c r="G16" s="33"/>
      <c r="H16" s="28"/>
      <c r="I16" s="28"/>
      <c r="J16" s="13"/>
    </row>
    <row r="17" spans="1:10" ht="6.75" customHeight="1">
      <c r="A17" s="32"/>
      <c r="B17" s="33"/>
      <c r="C17" s="33"/>
      <c r="D17" s="33"/>
      <c r="E17" s="33"/>
      <c r="F17" s="33"/>
      <c r="G17" s="33"/>
      <c r="H17" s="28"/>
      <c r="I17" s="28"/>
      <c r="J17" s="13"/>
    </row>
    <row r="18" spans="1:10">
      <c r="A18" s="23" t="s">
        <v>6</v>
      </c>
      <c r="B18" s="66" t="s">
        <v>60</v>
      </c>
      <c r="D18" s="34"/>
      <c r="E18" s="24"/>
      <c r="F18" s="27"/>
      <c r="G18" s="35"/>
      <c r="H18" s="28"/>
      <c r="I18" s="28"/>
      <c r="J18" s="13"/>
    </row>
    <row r="19" spans="1:10" ht="6.75" customHeight="1">
      <c r="B19" s="23"/>
      <c r="D19" s="34"/>
      <c r="E19" s="24"/>
      <c r="F19" s="27"/>
      <c r="G19" s="35"/>
      <c r="H19" s="28"/>
      <c r="I19" s="13"/>
      <c r="J19" s="13"/>
    </row>
    <row r="20" spans="1:10" ht="19.5" customHeight="1">
      <c r="A20" s="83" t="s">
        <v>31</v>
      </c>
      <c r="B20" s="83"/>
      <c r="C20" s="83"/>
      <c r="D20" s="83"/>
      <c r="E20" s="83"/>
      <c r="F20" s="83"/>
      <c r="G20" s="83"/>
      <c r="H20" s="28"/>
      <c r="I20" s="28"/>
      <c r="J20" s="13"/>
    </row>
    <row r="21" spans="1:10" s="21" customFormat="1" ht="12.75">
      <c r="A21" s="36"/>
      <c r="B21" s="36"/>
      <c r="C21" s="37"/>
      <c r="D21" s="38"/>
      <c r="E21" s="37"/>
      <c r="F21" s="39" t="s">
        <v>0</v>
      </c>
      <c r="G21" s="40" t="s">
        <v>0</v>
      </c>
      <c r="H21" s="41"/>
      <c r="I21" s="41"/>
      <c r="J21" s="42"/>
    </row>
    <row r="22" spans="1:10" ht="14.25" customHeight="1">
      <c r="A22" s="67" t="s">
        <v>60</v>
      </c>
      <c r="B22" s="23"/>
      <c r="D22" s="43"/>
      <c r="E22" s="24"/>
      <c r="F22" s="44"/>
      <c r="G22" s="45"/>
      <c r="H22" s="28"/>
      <c r="I22" s="28"/>
      <c r="J22" s="13"/>
    </row>
    <row r="23" spans="1:10" ht="14.25" customHeight="1">
      <c r="A23" s="61" t="s">
        <v>37</v>
      </c>
      <c r="B23" s="23"/>
      <c r="D23" s="43"/>
      <c r="E23" s="24"/>
      <c r="F23" s="44"/>
      <c r="G23" s="45"/>
      <c r="H23" s="28"/>
      <c r="I23" s="28"/>
      <c r="J23" s="13"/>
    </row>
    <row r="24" spans="1:10" ht="14.25" customHeight="1">
      <c r="A24" s="10" t="s">
        <v>38</v>
      </c>
      <c r="B24" s="23"/>
      <c r="C24" s="46"/>
      <c r="D24" s="47"/>
      <c r="E24" s="48"/>
      <c r="F24" s="49">
        <v>9540</v>
      </c>
      <c r="G24" s="50"/>
      <c r="H24" s="28"/>
      <c r="I24" s="28"/>
      <c r="J24" s="13"/>
    </row>
    <row r="25" spans="1:10" ht="14.25" customHeight="1">
      <c r="A25" s="10" t="s">
        <v>39</v>
      </c>
      <c r="B25" s="23"/>
      <c r="C25" s="46"/>
      <c r="D25" s="47"/>
      <c r="E25" s="48"/>
      <c r="F25" s="49">
        <v>0</v>
      </c>
      <c r="G25" s="50"/>
      <c r="H25" s="28"/>
      <c r="I25" s="28"/>
      <c r="J25" s="13"/>
    </row>
    <row r="26" spans="1:10" ht="14.25" customHeight="1">
      <c r="A26" s="10" t="s">
        <v>49</v>
      </c>
      <c r="B26" s="23"/>
      <c r="C26" s="46"/>
      <c r="D26" s="47"/>
      <c r="E26" s="48"/>
      <c r="F26" s="49">
        <v>0</v>
      </c>
      <c r="G26" s="50"/>
      <c r="H26" s="28"/>
      <c r="I26" s="28"/>
      <c r="J26" s="13"/>
    </row>
    <row r="27" spans="1:10" ht="14.25" customHeight="1">
      <c r="A27" s="10" t="s">
        <v>40</v>
      </c>
      <c r="B27" s="23"/>
      <c r="C27" s="46"/>
      <c r="D27" s="47"/>
      <c r="E27" s="48"/>
      <c r="F27" s="49">
        <v>350</v>
      </c>
      <c r="G27" s="50"/>
      <c r="H27" s="28"/>
      <c r="I27" s="28"/>
      <c r="J27" s="13"/>
    </row>
    <row r="28" spans="1:10" ht="14.25" customHeight="1">
      <c r="A28" s="10" t="s">
        <v>50</v>
      </c>
      <c r="B28" s="23"/>
      <c r="C28" s="46"/>
      <c r="D28" s="47"/>
      <c r="E28" s="48"/>
      <c r="F28" s="49">
        <v>0</v>
      </c>
      <c r="G28" s="50"/>
      <c r="H28" s="28"/>
      <c r="I28" s="28"/>
      <c r="J28" s="13"/>
    </row>
    <row r="29" spans="1:10" ht="14.25" customHeight="1">
      <c r="A29" s="10" t="s">
        <v>51</v>
      </c>
      <c r="B29" s="23"/>
      <c r="C29" s="46"/>
      <c r="D29" s="47"/>
      <c r="E29" s="48"/>
      <c r="F29" s="62">
        <v>0</v>
      </c>
      <c r="G29" s="50"/>
      <c r="H29" s="28"/>
      <c r="I29" s="28"/>
      <c r="J29" s="13"/>
    </row>
    <row r="30" spans="1:10" ht="15" customHeight="1">
      <c r="B30" s="23"/>
      <c r="C30" s="46"/>
      <c r="D30" s="47"/>
      <c r="E30" s="48"/>
      <c r="F30" s="49">
        <f>SUM(F24:F29)</f>
        <v>9890</v>
      </c>
      <c r="G30" s="50"/>
      <c r="H30" s="28"/>
      <c r="I30" s="28"/>
      <c r="J30" s="13"/>
    </row>
    <row r="31" spans="1:10" ht="14.25" customHeight="1">
      <c r="A31" s="61" t="s">
        <v>42</v>
      </c>
      <c r="B31" s="23"/>
      <c r="D31" s="43"/>
      <c r="E31" s="24"/>
      <c r="F31" s="44"/>
      <c r="G31" s="45"/>
      <c r="H31" s="28"/>
      <c r="I31" s="28"/>
      <c r="J31" s="13"/>
    </row>
    <row r="32" spans="1:10" ht="14.25" customHeight="1">
      <c r="A32" s="10" t="s">
        <v>43</v>
      </c>
      <c r="B32" s="23"/>
      <c r="C32" s="46"/>
      <c r="D32" s="47"/>
      <c r="E32" s="48"/>
      <c r="F32" s="49">
        <v>14340</v>
      </c>
      <c r="G32" s="50"/>
      <c r="H32" s="28"/>
      <c r="I32" s="28"/>
      <c r="J32" s="13"/>
    </row>
    <row r="33" spans="1:10" ht="14.25" customHeight="1">
      <c r="A33" s="10" t="s">
        <v>45</v>
      </c>
      <c r="B33" s="23"/>
      <c r="C33" s="46"/>
      <c r="D33" s="47"/>
      <c r="E33" s="48"/>
      <c r="F33" s="49">
        <v>0</v>
      </c>
      <c r="G33" s="50"/>
      <c r="H33" s="28"/>
      <c r="I33" s="28"/>
      <c r="J33" s="13"/>
    </row>
    <row r="34" spans="1:10" ht="14.25" customHeight="1">
      <c r="A34" s="10" t="s">
        <v>44</v>
      </c>
      <c r="B34" s="23"/>
      <c r="C34" s="46"/>
      <c r="D34" s="47"/>
      <c r="E34" s="48"/>
      <c r="F34" s="62">
        <v>0</v>
      </c>
      <c r="G34" s="50"/>
      <c r="H34" s="28"/>
      <c r="I34" s="28"/>
      <c r="J34" s="13"/>
    </row>
    <row r="35" spans="1:10" ht="15" customHeight="1">
      <c r="B35" s="23"/>
      <c r="C35" s="46"/>
      <c r="D35" s="47"/>
      <c r="E35" s="48"/>
      <c r="F35" s="49">
        <f>SUM(F32:F34)</f>
        <v>14340</v>
      </c>
      <c r="G35" s="50"/>
      <c r="H35" s="28"/>
      <c r="I35" s="28"/>
      <c r="J35" s="13"/>
    </row>
    <row r="36" spans="1:10" ht="15" customHeight="1">
      <c r="A36" s="64" t="s">
        <v>42</v>
      </c>
      <c r="B36" s="23"/>
      <c r="C36" s="46"/>
      <c r="D36" s="47"/>
      <c r="E36" s="48"/>
      <c r="F36" s="49"/>
      <c r="G36" s="50"/>
      <c r="H36" s="28"/>
      <c r="I36" s="28"/>
      <c r="J36" s="13"/>
    </row>
    <row r="37" spans="1:10" ht="14.25" customHeight="1">
      <c r="A37" s="10" t="s">
        <v>34</v>
      </c>
      <c r="B37" s="23"/>
      <c r="C37" s="46"/>
      <c r="D37" s="47"/>
      <c r="E37" s="48"/>
      <c r="F37" s="49">
        <v>0</v>
      </c>
      <c r="G37" s="50"/>
      <c r="H37" s="28"/>
      <c r="I37" s="28"/>
      <c r="J37" s="13"/>
    </row>
    <row r="38" spans="1:10" ht="14.25" customHeight="1">
      <c r="A38" s="10" t="s">
        <v>33</v>
      </c>
      <c r="B38" s="23"/>
      <c r="C38" s="46"/>
      <c r="D38" s="47"/>
      <c r="E38" s="48"/>
      <c r="F38" s="49">
        <v>0</v>
      </c>
      <c r="G38" s="50"/>
      <c r="H38" s="28"/>
      <c r="I38" s="28"/>
      <c r="J38" s="13"/>
    </row>
    <row r="39" spans="1:10" ht="14.25" customHeight="1">
      <c r="A39" s="10" t="s">
        <v>35</v>
      </c>
      <c r="B39" s="23"/>
      <c r="C39" s="46"/>
      <c r="D39" s="47"/>
      <c r="E39" s="48"/>
      <c r="F39" s="62">
        <v>0</v>
      </c>
      <c r="G39" s="50"/>
      <c r="H39" s="28"/>
      <c r="I39" s="28"/>
      <c r="J39" s="13"/>
    </row>
    <row r="40" spans="1:10" ht="15" customHeight="1">
      <c r="B40" s="23"/>
      <c r="C40" s="46"/>
      <c r="D40" s="47"/>
      <c r="E40" s="48"/>
      <c r="F40" s="49">
        <f>SUM(F37:F39)</f>
        <v>0</v>
      </c>
      <c r="G40" s="50"/>
      <c r="H40" s="28"/>
      <c r="I40" s="28"/>
      <c r="J40" s="13"/>
    </row>
    <row r="41" spans="1:10" ht="5.25" customHeight="1">
      <c r="B41" s="23"/>
      <c r="C41" s="46"/>
      <c r="D41" s="47"/>
      <c r="E41" s="48"/>
      <c r="F41" s="49"/>
      <c r="G41" s="50"/>
      <c r="H41" s="28"/>
      <c r="I41" s="28"/>
      <c r="J41" s="13"/>
    </row>
    <row r="42" spans="1:10" s="71" customFormat="1" ht="15.75" customHeight="1">
      <c r="A42" s="31" t="s">
        <v>52</v>
      </c>
      <c r="B42" s="73"/>
      <c r="C42" s="74"/>
      <c r="E42" s="75"/>
      <c r="F42" s="72">
        <f>SUM(F30+F35+F40)</f>
        <v>24230</v>
      </c>
      <c r="G42" s="76"/>
      <c r="H42" s="77"/>
      <c r="I42" s="77"/>
      <c r="J42" s="78"/>
    </row>
    <row r="43" spans="1:10" ht="15.75" customHeight="1">
      <c r="B43" s="23"/>
      <c r="C43" s="46"/>
      <c r="D43" s="47"/>
      <c r="E43" s="48"/>
      <c r="F43" s="59"/>
      <c r="G43" s="50"/>
      <c r="H43" s="28"/>
      <c r="I43" s="28"/>
      <c r="J43" s="13"/>
    </row>
    <row r="44" spans="1:10" ht="18" customHeight="1">
      <c r="A44" s="15" t="s">
        <v>13</v>
      </c>
      <c r="B44" s="23"/>
      <c r="C44" s="51"/>
      <c r="D44" s="43"/>
      <c r="E44" s="48">
        <v>7.6999999999999999E-2</v>
      </c>
      <c r="F44" s="52">
        <f>ROUND(F42*E44*20,0)/20</f>
        <v>1865.7</v>
      </c>
      <c r="G44" s="53"/>
      <c r="H44" s="28"/>
      <c r="I44" s="28"/>
      <c r="J44" s="13"/>
    </row>
    <row r="45" spans="1:10" ht="18" customHeight="1">
      <c r="A45" s="54"/>
      <c r="B45" s="55"/>
      <c r="C45" s="56"/>
      <c r="D45" s="57"/>
      <c r="E45" s="58"/>
      <c r="F45" s="59"/>
      <c r="G45" s="60"/>
      <c r="H45" s="28"/>
      <c r="I45" s="28"/>
      <c r="J45" s="13"/>
    </row>
    <row r="46" spans="1:10" s="31" customFormat="1" ht="14.25" customHeight="1">
      <c r="A46" s="31" t="s">
        <v>47</v>
      </c>
      <c r="B46" s="69"/>
      <c r="E46" s="54"/>
      <c r="F46" s="59">
        <f>F42+F44</f>
        <v>26095.7</v>
      </c>
      <c r="G46" s="68"/>
      <c r="H46" s="70"/>
      <c r="I46" s="70"/>
      <c r="J46" s="19"/>
    </row>
  </sheetData>
  <mergeCells count="2">
    <mergeCell ref="A7:D8"/>
    <mergeCell ref="A20:G20"/>
  </mergeCells>
  <conditionalFormatting sqref="I3:I6">
    <cfRule type="expression" dxfId="1" priority="2">
      <formula>I3=""</formula>
    </cfRule>
  </conditionalFormatting>
  <conditionalFormatting sqref="I2">
    <cfRule type="expression" dxfId="0" priority="1">
      <formula>I2=""</formula>
    </cfRule>
  </conditionalFormatting>
  <pageMargins left="0.94488188976377963" right="0.70866141732283472" top="0.43307086614173229" bottom="0.17" header="0.99" footer="0.21"/>
  <pageSetup paperSize="9" scale="91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101377" r:id="rId5">
          <objectPr defaultSize="0" autoLine="0" autoPict="0" r:id="rId6">
            <anchor>
              <from>
                <xdr:col>0</xdr:col>
                <xdr:colOff>0</xdr:colOff>
                <xdr:row>100</xdr:row>
                <xdr:rowOff>161925</xdr:rowOff>
              </from>
              <to>
                <xdr:col>6</xdr:col>
                <xdr:colOff>790575</xdr:colOff>
                <xdr:row>102</xdr:row>
                <xdr:rowOff>104775</xdr:rowOff>
              </to>
            </anchor>
          </objectPr>
        </oleObject>
      </mc:Choice>
      <mc:Fallback>
        <oleObject progId="Word.Document.6" shapeId="101377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8" r:id="rId7" name="Button 2">
              <controlPr defaultSize="0" print="0" autoFill="0" autoPict="0" macro="[0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11</vt:i4>
      </vt:variant>
    </vt:vector>
  </HeadingPairs>
  <TitlesOfParts>
    <vt:vector size="17" baseType="lpstr">
      <vt:lpstr>Grunddaten</vt:lpstr>
      <vt:lpstr>Dezember 2021_alt</vt:lpstr>
      <vt:lpstr>Januar 2022</vt:lpstr>
      <vt:lpstr>Februar 2022</vt:lpstr>
      <vt:lpstr>März 2022</vt:lpstr>
      <vt:lpstr>April 2022</vt:lpstr>
      <vt:lpstr>'April 2022'!Druckbereich</vt:lpstr>
      <vt:lpstr>'Dezember 2021_alt'!Druckbereich</vt:lpstr>
      <vt:lpstr>'Februar 2022'!Druckbereich</vt:lpstr>
      <vt:lpstr>Grunddaten!Druckbereich</vt:lpstr>
      <vt:lpstr>'Januar 2022'!Druckbereich</vt:lpstr>
      <vt:lpstr>'März 2022'!Druckbereich</vt:lpstr>
      <vt:lpstr>'April 2022'!Drucktitel</vt:lpstr>
      <vt:lpstr>'Dezember 2021_alt'!Drucktitel</vt:lpstr>
      <vt:lpstr>'Februar 2022'!Drucktitel</vt:lpstr>
      <vt:lpstr>'Januar 2022'!Drucktitel</vt:lpstr>
      <vt:lpstr>'März 2022'!Drucktitel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Rechnungsvorlage</dc:title>
  <dc:creator>Meichtry-Giger Anna</dc:creator>
  <dc:description>Version 2014-02</dc:description>
  <cp:lastModifiedBy>Beuret Agnès</cp:lastModifiedBy>
  <cp:lastPrinted>2022-05-13T11:21:01Z</cp:lastPrinted>
  <dcterms:created xsi:type="dcterms:W3CDTF">1997-04-21T09:10:20Z</dcterms:created>
  <dcterms:modified xsi:type="dcterms:W3CDTF">2022-05-13T11:22:28Z</dcterms:modified>
</cp:coreProperties>
</file>