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480" yWindow="105" windowWidth="14820" windowHeight="8370"/>
  </bookViews>
  <sheets>
    <sheet name="Risikoanalyse CL" sheetId="18" r:id="rId1"/>
    <sheet name="Risikobewertung" sheetId="19" r:id="rId2"/>
  </sheets>
  <definedNames>
    <definedName name="_xlnm._FilterDatabase" localSheetId="1" hidden="1">Risikobewertung!$A$8:$A$75</definedName>
    <definedName name="_xlnm.Print_Area" localSheetId="0">'Risikoanalyse CL'!$A$1:$D$90</definedName>
    <definedName name="_xlnm.Print_Area" localSheetId="1">Risikobewertung!$B$1:$L$92</definedName>
    <definedName name="_xlnm.Print_Titles" localSheetId="0">'Risikoanalyse CL'!$3:$5</definedName>
    <definedName name="Projektname">"Textfeld 4"</definedName>
    <definedName name="R_Analyse">'Risikoanalyse CL'!$A$1:$F$89</definedName>
  </definedNames>
  <calcPr calcId="145621"/>
</workbook>
</file>

<file path=xl/calcChain.xml><?xml version="1.0" encoding="utf-8"?>
<calcChain xmlns="http://schemas.openxmlformats.org/spreadsheetml/2006/main">
  <c r="A75" i="19" l="1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C75" i="19" l="1"/>
  <c r="C74" i="19"/>
  <c r="C73" i="19"/>
  <c r="C72" i="19"/>
  <c r="I71" i="19"/>
  <c r="J71" i="19" s="1"/>
  <c r="C70" i="19"/>
  <c r="C69" i="19"/>
  <c r="I68" i="19"/>
  <c r="J68" i="19" s="1"/>
  <c r="C67" i="19"/>
  <c r="C66" i="19"/>
  <c r="C65" i="19"/>
  <c r="C64" i="19"/>
  <c r="I63" i="19"/>
  <c r="J63" i="19" s="1"/>
  <c r="C62" i="19"/>
  <c r="C61" i="19"/>
  <c r="C60" i="19"/>
  <c r="C59" i="19"/>
  <c r="C58" i="19"/>
  <c r="C57" i="19"/>
  <c r="I56" i="19"/>
  <c r="J56" i="19" s="1"/>
  <c r="C55" i="19"/>
  <c r="C54" i="19"/>
  <c r="C52" i="19"/>
  <c r="C51" i="19"/>
  <c r="C50" i="19"/>
  <c r="I49" i="19"/>
  <c r="J49" i="19" s="1"/>
  <c r="C48" i="19"/>
  <c r="C46" i="19"/>
  <c r="I45" i="19"/>
  <c r="J45" i="19" s="1"/>
  <c r="I44" i="19"/>
  <c r="J44" i="19" s="1"/>
  <c r="C43" i="19"/>
  <c r="C42" i="19"/>
  <c r="C41" i="19"/>
  <c r="I40" i="19"/>
  <c r="J40" i="19" s="1"/>
  <c r="I39" i="19"/>
  <c r="C38" i="19"/>
  <c r="I37" i="19"/>
  <c r="J37" i="19" s="1"/>
  <c r="C36" i="19"/>
  <c r="C35" i="19"/>
  <c r="C34" i="19"/>
  <c r="C33" i="19"/>
  <c r="C32" i="19"/>
  <c r="I31" i="19"/>
  <c r="J31" i="19" s="1"/>
  <c r="C30" i="19"/>
  <c r="I29" i="19"/>
  <c r="J29" i="19" s="1"/>
  <c r="C28" i="19"/>
  <c r="C27" i="19"/>
  <c r="C26" i="19"/>
  <c r="I25" i="19"/>
  <c r="J25" i="19" s="1"/>
  <c r="C24" i="19"/>
  <c r="I23" i="19"/>
  <c r="J23" i="19" s="1"/>
  <c r="C22" i="19"/>
  <c r="I21" i="19"/>
  <c r="I20" i="19"/>
  <c r="J20" i="19" s="1"/>
  <c r="C19" i="19"/>
  <c r="I18" i="19"/>
  <c r="J18" i="19" s="1"/>
  <c r="C17" i="19"/>
  <c r="I16" i="19"/>
  <c r="J16" i="19" s="1"/>
  <c r="I15" i="19"/>
  <c r="J15" i="19" s="1"/>
  <c r="C14" i="19"/>
  <c r="I13" i="19"/>
  <c r="J13" i="19" s="1"/>
  <c r="C12" i="19"/>
  <c r="C11" i="19"/>
  <c r="C10" i="19"/>
  <c r="C9" i="19"/>
  <c r="I26" i="19"/>
  <c r="I42" i="19"/>
  <c r="J42" i="19" s="1"/>
  <c r="I58" i="19"/>
  <c r="E30" i="18"/>
  <c r="E31" i="18"/>
  <c r="E32" i="18"/>
  <c r="E33" i="18"/>
  <c r="C91" i="18"/>
  <c r="E89" i="18"/>
  <c r="E88" i="18"/>
  <c r="E87" i="18"/>
  <c r="E86" i="18"/>
  <c r="F89" i="18"/>
  <c r="I74" i="19" l="1"/>
  <c r="J74" i="19" s="1"/>
  <c r="J26" i="19"/>
  <c r="I36" i="19"/>
  <c r="J36" i="19" s="1"/>
  <c r="I61" i="19"/>
  <c r="J61" i="19" s="1"/>
  <c r="I22" i="19"/>
  <c r="J22" i="19" s="1"/>
  <c r="C44" i="19"/>
  <c r="C29" i="19"/>
  <c r="I54" i="19"/>
  <c r="J54" i="19" s="1"/>
  <c r="I24" i="19"/>
  <c r="J24" i="19" s="1"/>
  <c r="C40" i="19"/>
  <c r="I53" i="19"/>
  <c r="J53" i="19" s="1"/>
  <c r="C45" i="19"/>
  <c r="I69" i="19"/>
  <c r="J69" i="19" s="1"/>
  <c r="I38" i="19"/>
  <c r="J38" i="19" s="1"/>
  <c r="C56" i="19"/>
  <c r="M69" i="19"/>
  <c r="I64" i="19"/>
  <c r="J64" i="19" s="1"/>
  <c r="I62" i="19"/>
  <c r="J62" i="19" s="1"/>
  <c r="I73" i="19"/>
  <c r="J73" i="19" s="1"/>
  <c r="I57" i="19"/>
  <c r="J57" i="19" s="1"/>
  <c r="I41" i="19"/>
  <c r="J41" i="19" s="1"/>
  <c r="I65" i="19"/>
  <c r="J65" i="19" s="1"/>
  <c r="I52" i="19"/>
  <c r="J52" i="19" s="1"/>
  <c r="I34" i="19"/>
  <c r="J34" i="19" s="1"/>
  <c r="C16" i="19"/>
  <c r="C25" i="19"/>
  <c r="C49" i="19"/>
  <c r="C20" i="19"/>
  <c r="I33" i="19"/>
  <c r="J33" i="19" s="1"/>
  <c r="I17" i="19"/>
  <c r="J17" i="19" s="1"/>
  <c r="I30" i="19"/>
  <c r="J30" i="19" s="1"/>
  <c r="I14" i="19"/>
  <c r="J14" i="19" s="1"/>
  <c r="M74" i="19"/>
  <c r="J58" i="19"/>
  <c r="I46" i="19"/>
  <c r="J46" i="19" s="1"/>
  <c r="I10" i="19"/>
  <c r="J10" i="19" s="1"/>
  <c r="C21" i="19"/>
  <c r="C37" i="19"/>
  <c r="C53" i="19"/>
  <c r="M73" i="19"/>
  <c r="I70" i="19"/>
  <c r="M70" i="19"/>
  <c r="J70" i="19"/>
  <c r="C68" i="19"/>
  <c r="I66" i="19"/>
  <c r="J66" i="19" s="1"/>
  <c r="I50" i="19"/>
  <c r="J50" i="19" s="1"/>
  <c r="C13" i="19"/>
  <c r="I43" i="19"/>
  <c r="J43" i="19" s="1"/>
  <c r="I11" i="19"/>
  <c r="J11" i="19" s="1"/>
  <c r="M67" i="19"/>
  <c r="I51" i="19"/>
  <c r="J51" i="19" s="1"/>
  <c r="I59" i="19"/>
  <c r="J59" i="19" s="1"/>
  <c r="I19" i="19"/>
  <c r="J19" i="19" s="1"/>
  <c r="C15" i="19"/>
  <c r="C23" i="19"/>
  <c r="C31" i="19"/>
  <c r="C39" i="19"/>
  <c r="C47" i="19"/>
  <c r="C63" i="19"/>
  <c r="C71" i="19"/>
  <c r="M75" i="19"/>
  <c r="I67" i="19"/>
  <c r="J67" i="19" s="1"/>
  <c r="I47" i="19"/>
  <c r="J47" i="19" s="1"/>
  <c r="I27" i="19"/>
  <c r="J27" i="19" s="1"/>
  <c r="I75" i="19"/>
  <c r="J75" i="19" s="1"/>
  <c r="C18" i="19"/>
  <c r="M71" i="19"/>
  <c r="I35" i="19"/>
  <c r="J35" i="19" s="1"/>
  <c r="I55" i="19"/>
  <c r="J55" i="19" s="1"/>
  <c r="I32" i="19"/>
  <c r="J32" i="19" s="1"/>
  <c r="I72" i="19"/>
  <c r="J72" i="19" s="1"/>
  <c r="I60" i="19"/>
  <c r="J60" i="19" s="1"/>
  <c r="I48" i="19"/>
  <c r="J48" i="19" s="1"/>
  <c r="M72" i="19"/>
  <c r="I12" i="19"/>
  <c r="J12" i="19" s="1"/>
  <c r="J39" i="19"/>
  <c r="I28" i="19"/>
  <c r="J28" i="19" s="1"/>
  <c r="M68" i="19"/>
  <c r="J21" i="19"/>
  <c r="M20" i="19"/>
  <c r="M10" i="19"/>
  <c r="M11" i="19"/>
  <c r="M14" i="19"/>
  <c r="M15" i="19"/>
  <c r="M18" i="19"/>
  <c r="M19" i="19"/>
  <c r="M21" i="19"/>
  <c r="M22" i="19"/>
  <c r="M26" i="19"/>
  <c r="M29" i="19"/>
  <c r="M30" i="19"/>
  <c r="M32" i="19"/>
  <c r="M33" i="19"/>
  <c r="M34" i="19"/>
  <c r="M37" i="19"/>
  <c r="M38" i="19"/>
  <c r="M41" i="19"/>
  <c r="M42" i="19"/>
  <c r="M45" i="19"/>
  <c r="M46" i="19"/>
  <c r="M48" i="19"/>
  <c r="M49" i="19"/>
  <c r="M53" i="19"/>
  <c r="M54" i="19"/>
  <c r="M56" i="19"/>
  <c r="M57" i="19"/>
  <c r="M62" i="19"/>
  <c r="F18" i="18"/>
  <c r="F83" i="18"/>
  <c r="F74" i="18"/>
  <c r="F66" i="18"/>
  <c r="F53" i="18"/>
  <c r="F45" i="18"/>
  <c r="F33" i="18"/>
  <c r="F23" i="18"/>
  <c r="E83" i="18"/>
  <c r="E74" i="18"/>
  <c r="E66" i="18"/>
  <c r="E53" i="18"/>
  <c r="E45" i="18"/>
  <c r="E23" i="18"/>
  <c r="E18" i="18"/>
  <c r="E82" i="18"/>
  <c r="E81" i="18"/>
  <c r="E80" i="18"/>
  <c r="E79" i="18"/>
  <c r="E78" i="18"/>
  <c r="E77" i="18"/>
  <c r="E73" i="18"/>
  <c r="E72" i="18"/>
  <c r="E71" i="18"/>
  <c r="E70" i="18"/>
  <c r="E69" i="18"/>
  <c r="E65" i="18"/>
  <c r="E64" i="18"/>
  <c r="E63" i="18"/>
  <c r="E62" i="18"/>
  <c r="E61" i="18"/>
  <c r="E60" i="18"/>
  <c r="E59" i="18"/>
  <c r="E58" i="18"/>
  <c r="E57" i="18"/>
  <c r="E56" i="18"/>
  <c r="E52" i="18"/>
  <c r="E51" i="18"/>
  <c r="E50" i="18"/>
  <c r="E49" i="18"/>
  <c r="E48" i="18"/>
  <c r="E44" i="18"/>
  <c r="E43" i="18"/>
  <c r="E42" i="18"/>
  <c r="E41" i="18"/>
  <c r="E40" i="18"/>
  <c r="E39" i="18"/>
  <c r="E38" i="18"/>
  <c r="E37" i="18"/>
  <c r="E36" i="18"/>
  <c r="E29" i="18"/>
  <c r="E28" i="18"/>
  <c r="E27" i="18"/>
  <c r="E26" i="18"/>
  <c r="E22" i="18"/>
  <c r="E21" i="18"/>
  <c r="E8" i="18"/>
  <c r="E9" i="18"/>
  <c r="E10" i="18"/>
  <c r="E11" i="18"/>
  <c r="E12" i="18"/>
  <c r="E13" i="18"/>
  <c r="E14" i="18"/>
  <c r="E15" i="18"/>
  <c r="E16" i="18"/>
  <c r="E17" i="18"/>
  <c r="E7" i="18"/>
  <c r="M17" i="19" l="1"/>
  <c r="M64" i="19"/>
  <c r="M24" i="19"/>
  <c r="M16" i="19"/>
  <c r="M35" i="19"/>
  <c r="M55" i="19"/>
  <c r="M13" i="19"/>
  <c r="M25" i="19"/>
  <c r="M65" i="19"/>
  <c r="M40" i="19"/>
  <c r="M51" i="19"/>
  <c r="M63" i="19"/>
  <c r="M43" i="19"/>
  <c r="M61" i="19"/>
  <c r="M39" i="19"/>
  <c r="M28" i="19"/>
  <c r="M60" i="19"/>
  <c r="M27" i="19"/>
  <c r="M47" i="19"/>
  <c r="M36" i="19"/>
  <c r="M52" i="19"/>
  <c r="M23" i="19"/>
  <c r="M12" i="19"/>
  <c r="M31" i="19"/>
  <c r="M59" i="19"/>
  <c r="M44" i="19"/>
  <c r="I9" i="19"/>
  <c r="J9" i="19" s="1"/>
  <c r="M66" i="19"/>
  <c r="M58" i="19"/>
  <c r="M50" i="19"/>
  <c r="M9" i="19"/>
  <c r="B9" i="19" s="1"/>
  <c r="B10" i="19" s="1"/>
  <c r="B11" i="19" s="1"/>
  <c r="B12" i="19" l="1"/>
  <c r="B13" i="19" s="1"/>
  <c r="B14" i="19" s="1"/>
  <c r="B15" i="19" s="1"/>
  <c r="B16" i="19" s="1"/>
  <c r="B17" i="19" s="1"/>
  <c r="B18" i="19" s="1"/>
  <c r="B19" i="19" s="1"/>
  <c r="B20" i="19" s="1"/>
  <c r="B21" i="19" s="1"/>
  <c r="B22" i="19" s="1"/>
  <c r="B23" i="19" s="1"/>
  <c r="B24" i="19" s="1"/>
  <c r="B25" i="19" s="1"/>
  <c r="B26" i="19" s="1"/>
  <c r="B27" i="19" s="1"/>
  <c r="B28" i="19" s="1"/>
  <c r="B29" i="19" s="1"/>
  <c r="B30" i="19" s="1"/>
  <c r="B31" i="19" s="1"/>
  <c r="B32" i="19" s="1"/>
  <c r="B33" i="19" s="1"/>
  <c r="B34" i="19" s="1"/>
  <c r="B35" i="19" s="1"/>
  <c r="B36" i="19" s="1"/>
  <c r="B37" i="19" s="1"/>
  <c r="B38" i="19" s="1"/>
  <c r="B39" i="19" s="1"/>
  <c r="B40" i="19" s="1"/>
  <c r="B41" i="19" s="1"/>
  <c r="B42" i="19" s="1"/>
  <c r="B43" i="19" s="1"/>
  <c r="B44" i="19" s="1"/>
  <c r="B45" i="19" s="1"/>
  <c r="B46" i="19" s="1"/>
  <c r="B47" i="19" s="1"/>
  <c r="B48" i="19" s="1"/>
  <c r="B49" i="19" s="1"/>
  <c r="B50" i="19" s="1"/>
  <c r="B51" i="19" s="1"/>
  <c r="B52" i="19" s="1"/>
  <c r="B53" i="19" s="1"/>
  <c r="B54" i="19" s="1"/>
  <c r="B55" i="19" s="1"/>
  <c r="B56" i="19" s="1"/>
  <c r="B57" i="19" s="1"/>
  <c r="B58" i="19" s="1"/>
  <c r="B59" i="19" s="1"/>
  <c r="B60" i="19" s="1"/>
  <c r="B61" i="19" s="1"/>
  <c r="B62" i="19" s="1"/>
  <c r="B63" i="19" s="1"/>
  <c r="B64" i="19" s="1"/>
  <c r="B65" i="19" s="1"/>
  <c r="B66" i="19" s="1"/>
  <c r="B67" i="19" s="1"/>
  <c r="B68" i="19" s="1"/>
  <c r="B69" i="19" s="1"/>
  <c r="B70" i="19" s="1"/>
  <c r="B71" i="19" s="1"/>
  <c r="B72" i="19" s="1"/>
  <c r="B73" i="19" s="1"/>
  <c r="B74" i="19" s="1"/>
  <c r="B75" i="19" s="1"/>
</calcChain>
</file>

<file path=xl/sharedStrings.xml><?xml version="1.0" encoding="utf-8"?>
<sst xmlns="http://schemas.openxmlformats.org/spreadsheetml/2006/main" count="378" uniqueCount="244">
  <si>
    <t>Bewertung</t>
  </si>
  <si>
    <t>Auswirkung auf</t>
  </si>
  <si>
    <t>Lfd. Nr.</t>
  </si>
  <si>
    <t>Risiko</t>
  </si>
  <si>
    <t>Q</t>
  </si>
  <si>
    <t>K</t>
  </si>
  <si>
    <t>Z</t>
  </si>
  <si>
    <t>EWS</t>
  </si>
  <si>
    <t>RKZ</t>
  </si>
  <si>
    <t>geringe Priorität</t>
  </si>
  <si>
    <t>mittlere Priorität</t>
  </si>
  <si>
    <t>hohe Priorität</t>
  </si>
  <si>
    <t>&gt; 1</t>
  </si>
  <si>
    <t>sehr hohe Priorität</t>
  </si>
  <si>
    <t>© startup euregio Management GmbH, 2000 - 2006</t>
  </si>
  <si>
    <t>Bei Fragen wenden Sie sich bitte an office@startupeuregio.at</t>
  </si>
  <si>
    <t>Anwendung:</t>
  </si>
  <si>
    <t>1) Identifizieren Sie die Projektrisiken (möglichst gemeinsam mit dem Projektteam).</t>
  </si>
  <si>
    <t>2) Bewerten Sie die Auswirkungen des Risikos bei Eintritt hinsichtlich Qualität, Kosten und Zeit (0 = keine Auswirkung, 3 = große Auswirkung).</t>
  </si>
  <si>
    <t>3) Schätzen Sie die Eintrittswahrscheinlichkeit (in wie vielen von 10 Fällen tritt das Risiko üblicherweise ein?).</t>
  </si>
  <si>
    <t>4) Je höher die Risiko-Kennziffer, umso kritischer ist das Risiko und umso höher ist das Risiko zu priorisieren.</t>
  </si>
  <si>
    <t>Legende</t>
  </si>
  <si>
    <t>Vorsorgemassnahmen</t>
  </si>
  <si>
    <t>Beschreibung und Konsequenzen</t>
  </si>
  <si>
    <t>Q:</t>
  </si>
  <si>
    <t>K:</t>
  </si>
  <si>
    <t>Z:</t>
  </si>
  <si>
    <t>Risikoanalyse - Checkliste</t>
  </si>
  <si>
    <t>Relevanz</t>
  </si>
  <si>
    <t>Ja</t>
  </si>
  <si>
    <t>Nein</t>
  </si>
  <si>
    <t>Umwelteinflüsse können Projekt behindern oder gefährden?</t>
  </si>
  <si>
    <t>Baugrund- und Grundwasserverhältnisse schwierig oder nicht bekannt?</t>
  </si>
  <si>
    <t>Bestehende Bausubstanz schwierig oder nicht bekannt?</t>
  </si>
  <si>
    <t>Hochwassergefährdung?</t>
  </si>
  <si>
    <t>Altlasten vorhanden?</t>
  </si>
  <si>
    <t>Nachweispflichtige Erdbebenzone?</t>
  </si>
  <si>
    <t>Archäologische Zone?</t>
  </si>
  <si>
    <t>Nachbarbauten gefährdet?</t>
  </si>
  <si>
    <t>Unklare und unsichere Grundlagen?</t>
  </si>
  <si>
    <t>Ist Finanzierung unsicher?</t>
  </si>
  <si>
    <t>Preissteigerungen möglich?</t>
  </si>
  <si>
    <t>Konkursgefahr Lieferant?</t>
  </si>
  <si>
    <t>Kostenrahmen eng?</t>
  </si>
  <si>
    <t>Gesetze und Vorschriften nicht bekannt oder unvollständig?</t>
  </si>
  <si>
    <t>Behörden nicht vororientiert?</t>
  </si>
  <si>
    <t>Zonenvorschriften nicht eingehalten?</t>
  </si>
  <si>
    <t>Risiken bei Werk- und Zulieferverträgen?</t>
  </si>
  <si>
    <t>Pönale und Konventionalstrafe vereinbart?</t>
  </si>
  <si>
    <t>Sind Leistungsabgrenzungen ungenau?</t>
  </si>
  <si>
    <t>Bestehende Verträge und Grundlasten nicht berücksichtigt?</t>
  </si>
  <si>
    <t>Bewilligungsverfahren nicht korrekt angewendet?</t>
  </si>
  <si>
    <t>Politisches Umfeld schwierig?</t>
  </si>
  <si>
    <t>Widerstand von Nachbarn?</t>
  </si>
  <si>
    <t>Nutzer nicht einbezogen?</t>
  </si>
  <si>
    <t>Konflikte mit anderen internen oder externen Projekten?</t>
  </si>
  <si>
    <t>Viele Beteiligte?</t>
  </si>
  <si>
    <t>Viele Schnittstellen?</t>
  </si>
  <si>
    <t>Schlecht organisierter Bauherr?</t>
  </si>
  <si>
    <t>Spezielle Organisationsform (z.B. TU-Modell)?</t>
  </si>
  <si>
    <t>Entscheidungsgremien gross?</t>
  </si>
  <si>
    <t>Zuständigkeiten/Verantwortungen unklar?</t>
  </si>
  <si>
    <t>Informationsfluss nicht geregelt?</t>
  </si>
  <si>
    <t>Personalwechsel in den Schlüsselpositionen?</t>
  </si>
  <si>
    <t>Mangelnde Erfahrung von Beteiligten, fehlende Qualifikation?</t>
  </si>
  <si>
    <t>Technologien neuartig oder komplex?</t>
  </si>
  <si>
    <t>Verfahren neuartig oder komplex?</t>
  </si>
  <si>
    <t>Spezielle Qualitätsanforderungen?</t>
  </si>
  <si>
    <t>Unklare Leistungsbeschreibung?</t>
  </si>
  <si>
    <t>Bauzustände risikoreich?</t>
  </si>
  <si>
    <t>Lange Projektdauer?</t>
  </si>
  <si>
    <t>Gedrängte Termine?</t>
  </si>
  <si>
    <t>Überlappung von Projektphasen?</t>
  </si>
  <si>
    <t>Projektablauf nicht strukturiert?</t>
  </si>
  <si>
    <t>Projektunterbrüche?</t>
  </si>
  <si>
    <t>Schleppende Entscheide?</t>
  </si>
  <si>
    <t>Kapazitätsengpässe?</t>
  </si>
  <si>
    <t>Grundwasserschutzzone vorhanden?</t>
  </si>
  <si>
    <t>Objekt unter Denkmalschutz?</t>
  </si>
  <si>
    <t>Projekt hat Auswirkungen auf Umwelt (Emissionen, Landschaft, Natur…)?</t>
  </si>
  <si>
    <t>x</t>
  </si>
  <si>
    <t>Anzahl relevanter Faktoren</t>
  </si>
  <si>
    <t>Projekt hat Auswirkungen auf Umwelt (Emissionen, Landschaft, Natur…)</t>
  </si>
  <si>
    <t>Umwelteinflüsse können Projekt behindern oder gefährden</t>
  </si>
  <si>
    <t>Baugrund- und Grundwasserverhältnisse schwierig oder nicht bekannt</t>
  </si>
  <si>
    <t>Bestehende Bausubstanz schwierig oder nicht bekannt</t>
  </si>
  <si>
    <t>Hochwassergefährdung</t>
  </si>
  <si>
    <t>Altlasten vorhanden</t>
  </si>
  <si>
    <t>Nachweispflichtige Erdbebenzone</t>
  </si>
  <si>
    <t>Archäologische Zone</t>
  </si>
  <si>
    <t>Nachbarbauten gefährdet</t>
  </si>
  <si>
    <t>Grundwasserschutzzone vorhanden</t>
  </si>
  <si>
    <t>Objekt unter Denkmalschutz</t>
  </si>
  <si>
    <t>Projektziele sind nicht messbar definiert (Nutzung, Termine, Kosten, Qualität)</t>
  </si>
  <si>
    <t>Unklare und unsichere Grundlagen</t>
  </si>
  <si>
    <t>Finanzierung ist unsicher</t>
  </si>
  <si>
    <t>Preissteigerungen möglich</t>
  </si>
  <si>
    <t>Konkursgefahr Lieferant</t>
  </si>
  <si>
    <t>Kostenrahmen eng</t>
  </si>
  <si>
    <t>Gesetze und Vorschriften nicht bekannt oder unvollständig</t>
  </si>
  <si>
    <t>Behörden nicht vororientiert</t>
  </si>
  <si>
    <t>Zonenvorschriften nicht eingehalten</t>
  </si>
  <si>
    <t>Risiken bei Werk- und Zulieferverträgen</t>
  </si>
  <si>
    <t>Pönale und Konventionalstrafe vereinbart</t>
  </si>
  <si>
    <t>Leistungsabgrenzungen sind ungenau</t>
  </si>
  <si>
    <t>Bestehende Verträge und Grundlasten nicht berücksichtigt</t>
  </si>
  <si>
    <t>Bewilligungsverfahren nicht korrekt angewendet</t>
  </si>
  <si>
    <t>Politisches Umfeld schwierig</t>
  </si>
  <si>
    <t>Drohende Einsprachen?</t>
  </si>
  <si>
    <t>Drohende Einsprachen</t>
  </si>
  <si>
    <t>Widerstand von Nachbarn</t>
  </si>
  <si>
    <t>Nutzer nicht einbezogen</t>
  </si>
  <si>
    <t>Konflikte mit anderen internen oder externen Projekten</t>
  </si>
  <si>
    <t>Viele Beteiligte</t>
  </si>
  <si>
    <t>Viele Schnittstellen</t>
  </si>
  <si>
    <t>Schlecht organisierter Bauherr</t>
  </si>
  <si>
    <t>Spezielle Organisationsform (z.B. TU-Modell)</t>
  </si>
  <si>
    <t>Entscheidungsgremien gross</t>
  </si>
  <si>
    <t>Zuständigkeiten/Verantwortungen unklar</t>
  </si>
  <si>
    <t>Informationsfluss nicht geregelt</t>
  </si>
  <si>
    <t>Personalwechsel in den Schlüsselpositionen</t>
  </si>
  <si>
    <t>Mangelnde Erfahrung von Beteiligten, fehlende Qualifikation</t>
  </si>
  <si>
    <t>Kapazitätsengpässe</t>
  </si>
  <si>
    <t>Technologien neuartig oder komplex</t>
  </si>
  <si>
    <t>Verfahren neuartig oder komplex</t>
  </si>
  <si>
    <t>Spezielle Qualitätsanforderungen</t>
  </si>
  <si>
    <t>Unklare Leistungsbeschreibung</t>
  </si>
  <si>
    <t>Bauzustände risikoreich</t>
  </si>
  <si>
    <t>Lange Projektdauer</t>
  </si>
  <si>
    <t>Gedrängte Termine</t>
  </si>
  <si>
    <t>Überlappung von Projektphasen</t>
  </si>
  <si>
    <t>Projektablauf nicht strukturiert</t>
  </si>
  <si>
    <t>Projektunterbrüche</t>
  </si>
  <si>
    <t>Schleppende Entscheide</t>
  </si>
  <si>
    <t>1. Natur, Umwelt</t>
  </si>
  <si>
    <t>2. Rahmenbedingungen</t>
  </si>
  <si>
    <t>3. Finanzielle Risiken</t>
  </si>
  <si>
    <t>4. Rechtliche Aspekte</t>
  </si>
  <si>
    <t>5. Projektumfeld</t>
  </si>
  <si>
    <t>6. Projektorganisation</t>
  </si>
  <si>
    <t>7. Technische Risiken</t>
  </si>
  <si>
    <t>8. Projektablauf</t>
  </si>
  <si>
    <t>1.1</t>
  </si>
  <si>
    <t>1.2</t>
  </si>
  <si>
    <t>1.3</t>
  </si>
  <si>
    <t>1.4</t>
  </si>
  <si>
    <t>1.5</t>
  </si>
  <si>
    <t>1.6</t>
  </si>
  <si>
    <t>1.7</t>
  </si>
  <si>
    <t>1.8</t>
  </si>
  <si>
    <t>1.9</t>
  </si>
  <si>
    <t>1.10</t>
  </si>
  <si>
    <t>1.11</t>
  </si>
  <si>
    <t>1.12</t>
  </si>
  <si>
    <t>2.1</t>
  </si>
  <si>
    <t>2.2</t>
  </si>
  <si>
    <t>2.3</t>
  </si>
  <si>
    <t>3.1</t>
  </si>
  <si>
    <t>3.2</t>
  </si>
  <si>
    <t>3.3</t>
  </si>
  <si>
    <t>3.4</t>
  </si>
  <si>
    <t>3.5</t>
  </si>
  <si>
    <t>4.1</t>
  </si>
  <si>
    <t>4.2</t>
  </si>
  <si>
    <t>4.3</t>
  </si>
  <si>
    <t>4.4</t>
  </si>
  <si>
    <t>4.5</t>
  </si>
  <si>
    <t>4.6</t>
  </si>
  <si>
    <t>4.7</t>
  </si>
  <si>
    <t>4.8</t>
  </si>
  <si>
    <t>4.9</t>
  </si>
  <si>
    <t>4.10</t>
  </si>
  <si>
    <t>5.1</t>
  </si>
  <si>
    <t>5.2</t>
  </si>
  <si>
    <t>5.3</t>
  </si>
  <si>
    <t>5.4</t>
  </si>
  <si>
    <t>5.5</t>
  </si>
  <si>
    <t>5.6</t>
  </si>
  <si>
    <t>6.1</t>
  </si>
  <si>
    <t>6.2</t>
  </si>
  <si>
    <t>6.3</t>
  </si>
  <si>
    <t>6.4</t>
  </si>
  <si>
    <t>6.5</t>
  </si>
  <si>
    <t>6.6</t>
  </si>
  <si>
    <t>6.7</t>
  </si>
  <si>
    <t>6.8</t>
  </si>
  <si>
    <t>6.9</t>
  </si>
  <si>
    <t>6.10</t>
  </si>
  <si>
    <t>6.11</t>
  </si>
  <si>
    <t>7.1</t>
  </si>
  <si>
    <t>7.2</t>
  </si>
  <si>
    <t>7.3</t>
  </si>
  <si>
    <t>7.4</t>
  </si>
  <si>
    <t>7.5</t>
  </si>
  <si>
    <t>7.6</t>
  </si>
  <si>
    <t>8.1</t>
  </si>
  <si>
    <t>8.2</t>
  </si>
  <si>
    <t>8.3</t>
  </si>
  <si>
    <t>8.4</t>
  </si>
  <si>
    <t>8.5</t>
  </si>
  <si>
    <t>8.6</t>
  </si>
  <si>
    <t>8.7</t>
  </si>
  <si>
    <t>…………………………</t>
  </si>
  <si>
    <t>Risikobewertung</t>
  </si>
  <si>
    <t>Sind Projektziele nicht messbar definiert (Nutzung, Termine, Kosten, Qualität)?</t>
  </si>
  <si>
    <t>9. Arbeitssicherheit + Gesundheitsschutz</t>
  </si>
  <si>
    <t>9.1</t>
  </si>
  <si>
    <t>9.2</t>
  </si>
  <si>
    <t>9.3</t>
  </si>
  <si>
    <t>9.4</t>
  </si>
  <si>
    <t>Bestehen erhöhte Risiken bezüglich A+G?</t>
  </si>
  <si>
    <t>Erhöhte Risiken bezüglich A+G</t>
  </si>
  <si>
    <t>Spezielle Einweisungen notwendig?</t>
  </si>
  <si>
    <t>Spezielle Einweisungen notwendig</t>
  </si>
  <si>
    <t>3.6</t>
  </si>
  <si>
    <t>3.7</t>
  </si>
  <si>
    <t>3.8</t>
  </si>
  <si>
    <t>Grosse Risikobereitschaft bei Angebotsabgabe?</t>
  </si>
  <si>
    <t>Grosse Risikobereitschaft bei Angebotsabgabe</t>
  </si>
  <si>
    <t>Projektentwicklung unsicher?</t>
  </si>
  <si>
    <t>Projektentwicklung unsicher</t>
  </si>
  <si>
    <t>Leistungsumfang im Vertrag unvollständig?</t>
  </si>
  <si>
    <t>Leistungsumfang im Vertrag unvollständig</t>
  </si>
  <si>
    <t>Behördenauflagen zu erwarten?</t>
  </si>
  <si>
    <t>Behördenauflagen zu erwarten</t>
  </si>
  <si>
    <t>Besondere Anforderungen A+G?</t>
  </si>
  <si>
    <t>Besondere Anforderungen A+G</t>
  </si>
  <si>
    <t>Gegenmassnahmen</t>
  </si>
  <si>
    <t>5) Es sind geeignete Gegenmassnahmen festzulegen.</t>
  </si>
  <si>
    <t xml:space="preserve">EWS:       </t>
  </si>
  <si>
    <t>Eintrittswahrscheinlichkeit</t>
  </si>
  <si>
    <t xml:space="preserve">RKZ:        </t>
  </si>
  <si>
    <t>Risiko-Kennzahl</t>
  </si>
  <si>
    <t>&lt; 0.4</t>
  </si>
  <si>
    <t>0.41 - 0.8</t>
  </si>
  <si>
    <t>0.81 - 1.0</t>
  </si>
  <si>
    <t>Qualitätsziele (Bewertung: 0 keine Auswirkung - 3 grosse Auswirkung)</t>
  </si>
  <si>
    <t>Kostenziele (Bewertung: 0 keine Auswirkung - 3 grosse Auswirkung)</t>
  </si>
  <si>
    <t>Zeitziele (Bewertung: 0 keine Auswirkung - 3 grosse Auswirkung)</t>
  </si>
  <si>
    <t>Kanalisation</t>
  </si>
  <si>
    <t>Bei Regen kann die Kanalisation nicht saniert werden</t>
  </si>
  <si>
    <t xml:space="preserve">Weigerung Sanierung GAL + Neubau KS </t>
  </si>
  <si>
    <t>Kanalisation Thannerstrasse</t>
  </si>
  <si>
    <t>01.07.2018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</si>
</sst>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b/>
      <u/>
      <sz val="10"/>
      <name val="Arial"/>
      <family val="2"/>
    </font>
    <font>
      <sz val="11"/>
      <name val="Arial"/>
      <family val="2"/>
    </font>
    <font>
      <b/>
      <sz val="12"/>
      <name val="Arial"/>
      <family val="2"/>
    </font>
    <font>
      <b/>
      <sz val="16"/>
      <name val="Arial"/>
      <family val="2"/>
    </font>
    <font>
      <sz val="11"/>
      <name val="Arial"/>
      <family val="2"/>
    </font>
    <font>
      <b/>
      <sz val="11"/>
      <color indexed="10"/>
      <name val="Arial"/>
      <family val="2"/>
    </font>
    <font>
      <b/>
      <i/>
      <sz val="10"/>
      <color rgb="FFFF66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63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6">
    <xf numFmtId="0" fontId="0" fillId="0" borderId="0" xfId="0"/>
    <xf numFmtId="0" fontId="6" fillId="2" borderId="0" xfId="0" applyFont="1" applyFill="1" applyAlignment="1"/>
    <xf numFmtId="0" fontId="5" fillId="2" borderId="0" xfId="0" applyFont="1" applyFill="1"/>
    <xf numFmtId="0" fontId="5" fillId="2" borderId="0" xfId="0" applyFont="1" applyFill="1" applyAlignment="1">
      <alignment horizontal="center"/>
    </xf>
    <xf numFmtId="0" fontId="5" fillId="2" borderId="0" xfId="0" applyFont="1" applyFill="1" applyBorder="1"/>
    <xf numFmtId="0" fontId="5" fillId="2" borderId="0" xfId="0" applyFont="1" applyFill="1" applyBorder="1" applyAlignment="1"/>
    <xf numFmtId="0" fontId="5" fillId="2" borderId="0" xfId="0" applyFont="1" applyFill="1" applyBorder="1" applyAlignment="1">
      <alignment horizontal="center"/>
    </xf>
    <xf numFmtId="0" fontId="5" fillId="2" borderId="0" xfId="0" applyFont="1" applyFill="1" applyAlignment="1"/>
    <xf numFmtId="0" fontId="7" fillId="3" borderId="1" xfId="0" applyFont="1" applyFill="1" applyBorder="1" applyAlignment="1"/>
    <xf numFmtId="0" fontId="5" fillId="3" borderId="2" xfId="0" applyFont="1" applyFill="1" applyBorder="1"/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3" borderId="4" xfId="0" applyFont="1" applyFill="1" applyBorder="1" applyAlignment="1"/>
    <xf numFmtId="0" fontId="5" fillId="3" borderId="0" xfId="0" applyFont="1" applyFill="1" applyBorder="1"/>
    <xf numFmtId="0" fontId="5" fillId="3" borderId="0" xfId="0" applyFont="1" applyFill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5" fillId="3" borderId="6" xfId="0" applyFont="1" applyFill="1" applyBorder="1" applyAlignment="1"/>
    <xf numFmtId="0" fontId="5" fillId="3" borderId="7" xfId="0" applyFont="1" applyFill="1" applyBorder="1"/>
    <xf numFmtId="0" fontId="5" fillId="3" borderId="7" xfId="0" applyFont="1" applyFill="1" applyBorder="1" applyAlignment="1">
      <alignment horizontal="center"/>
    </xf>
    <xf numFmtId="0" fontId="5" fillId="3" borderId="8" xfId="0" applyFont="1" applyFill="1" applyBorder="1" applyAlignment="1">
      <alignment horizontal="center"/>
    </xf>
    <xf numFmtId="0" fontId="5" fillId="2" borderId="0" xfId="0" applyFont="1" applyFill="1" applyBorder="1" applyAlignment="1">
      <alignment wrapText="1"/>
    </xf>
    <xf numFmtId="0" fontId="5" fillId="2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5" fillId="2" borderId="0" xfId="0" applyFont="1" applyFill="1" applyBorder="1" applyAlignment="1">
      <alignment vertical="top"/>
    </xf>
    <xf numFmtId="0" fontId="5" fillId="2" borderId="0" xfId="0" applyFont="1" applyFill="1" applyBorder="1" applyAlignment="1">
      <alignment vertical="center"/>
    </xf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vertical="center"/>
    </xf>
    <xf numFmtId="0" fontId="4" fillId="2" borderId="9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vertical="center" wrapText="1"/>
    </xf>
    <xf numFmtId="0" fontId="7" fillId="2" borderId="0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9" fillId="2" borderId="0" xfId="0" applyFont="1" applyFill="1" applyAlignment="1"/>
    <xf numFmtId="0" fontId="3" fillId="2" borderId="0" xfId="0" applyFont="1" applyFill="1" applyAlignment="1"/>
    <xf numFmtId="0" fontId="4" fillId="2" borderId="10" xfId="0" applyFont="1" applyFill="1" applyBorder="1"/>
    <xf numFmtId="0" fontId="4" fillId="5" borderId="10" xfId="0" applyFont="1" applyFill="1" applyBorder="1"/>
    <xf numFmtId="0" fontId="4" fillId="6" borderId="10" xfId="0" applyFont="1" applyFill="1" applyBorder="1"/>
    <xf numFmtId="0" fontId="4" fillId="7" borderId="10" xfId="0" applyFont="1" applyFill="1" applyBorder="1"/>
    <xf numFmtId="0" fontId="4" fillId="2" borderId="10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11" fillId="0" borderId="0" xfId="0" applyFont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10" fillId="0" borderId="0" xfId="0" applyFont="1" applyBorder="1"/>
    <xf numFmtId="0" fontId="11" fillId="0" borderId="0" xfId="0" applyFont="1" applyBorder="1"/>
    <xf numFmtId="0" fontId="8" fillId="4" borderId="10" xfId="0" applyFont="1" applyFill="1" applyBorder="1" applyAlignment="1">
      <alignment horizontal="center" vertical="center"/>
    </xf>
    <xf numFmtId="0" fontId="10" fillId="0" borderId="0" xfId="0" applyFont="1" applyAlignment="1">
      <alignment horizontal="left"/>
    </xf>
    <xf numFmtId="0" fontId="0" fillId="8" borderId="13" xfId="0" applyFill="1" applyBorder="1" applyAlignment="1" applyProtection="1">
      <alignment horizontal="center"/>
      <protection locked="0"/>
    </xf>
    <xf numFmtId="0" fontId="0" fillId="8" borderId="14" xfId="0" applyFill="1" applyBorder="1" applyAlignment="1" applyProtection="1">
      <alignment horizontal="center"/>
      <protection locked="0"/>
    </xf>
    <xf numFmtId="0" fontId="14" fillId="0" borderId="0" xfId="0" applyFont="1" applyAlignment="1">
      <alignment horizontal="center"/>
    </xf>
    <xf numFmtId="0" fontId="14" fillId="0" borderId="0" xfId="0" applyFont="1" applyBorder="1" applyAlignment="1">
      <alignment horizontal="center"/>
    </xf>
    <xf numFmtId="0" fontId="5" fillId="2" borderId="9" xfId="0" applyFont="1" applyFill="1" applyBorder="1" applyAlignment="1" applyProtection="1">
      <alignment vertical="center" wrapText="1"/>
      <protection locked="0"/>
    </xf>
    <xf numFmtId="0" fontId="3" fillId="2" borderId="10" xfId="0" applyFont="1" applyFill="1" applyBorder="1" applyAlignment="1" applyProtection="1">
      <alignment vertical="center" wrapText="1"/>
      <protection locked="0"/>
    </xf>
    <xf numFmtId="0" fontId="3" fillId="2" borderId="10" xfId="0" applyFont="1" applyFill="1" applyBorder="1" applyAlignment="1" applyProtection="1">
      <alignment horizontal="left" vertical="center" wrapText="1"/>
      <protection locked="0"/>
    </xf>
    <xf numFmtId="0" fontId="3" fillId="2" borderId="9" xfId="0" applyFont="1" applyFill="1" applyBorder="1" applyAlignment="1" applyProtection="1">
      <alignment vertical="center" wrapText="1"/>
      <protection locked="0"/>
    </xf>
    <xf numFmtId="0" fontId="3" fillId="2" borderId="9" xfId="0" applyFont="1" applyFill="1" applyBorder="1" applyAlignment="1" applyProtection="1">
      <alignment horizontal="center" vertical="center"/>
      <protection locked="0"/>
    </xf>
    <xf numFmtId="9" fontId="3" fillId="2" borderId="9" xfId="1" applyNumberFormat="1" applyFont="1" applyFill="1" applyBorder="1" applyAlignment="1" applyProtection="1">
      <alignment horizontal="center" vertical="center"/>
      <protection locked="0"/>
    </xf>
    <xf numFmtId="0" fontId="3" fillId="2" borderId="10" xfId="0" applyFont="1" applyFill="1" applyBorder="1" applyAlignment="1" applyProtection="1">
      <alignment horizontal="center" vertical="center"/>
      <protection locked="0"/>
    </xf>
    <xf numFmtId="9" fontId="3" fillId="2" borderId="10" xfId="1" applyNumberFormat="1" applyFont="1" applyFill="1" applyBorder="1" applyAlignment="1" applyProtection="1">
      <alignment horizontal="center" vertical="center"/>
      <protection locked="0"/>
    </xf>
    <xf numFmtId="9" fontId="3" fillId="2" borderId="10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>
      <alignment horizontal="right"/>
    </xf>
    <xf numFmtId="0" fontId="3" fillId="0" borderId="0" xfId="0" applyFont="1" applyAlignment="1">
      <alignment horizontal="center"/>
    </xf>
    <xf numFmtId="0" fontId="0" fillId="0" borderId="0" xfId="0" applyAlignment="1">
      <alignment horizontal="left" indent="1"/>
    </xf>
    <xf numFmtId="49" fontId="13" fillId="0" borderId="0" xfId="0" applyNumberFormat="1" applyFont="1" applyAlignment="1">
      <alignment horizontal="left" indent="1"/>
    </xf>
    <xf numFmtId="0" fontId="10" fillId="0" borderId="0" xfId="0" applyFont="1" applyAlignment="1" applyProtection="1">
      <alignment horizontal="left"/>
      <protection locked="0"/>
    </xf>
    <xf numFmtId="0" fontId="7" fillId="2" borderId="0" xfId="0" applyFont="1" applyFill="1" applyBorder="1"/>
    <xf numFmtId="0" fontId="0" fillId="0" borderId="0" xfId="0" applyBorder="1"/>
    <xf numFmtId="0" fontId="3" fillId="0" borderId="0" xfId="0" applyFont="1" applyBorder="1" applyAlignment="1">
      <alignment horizontal="center"/>
    </xf>
    <xf numFmtId="0" fontId="3" fillId="0" borderId="0" xfId="0" applyFont="1" applyBorder="1" applyAlignment="1"/>
    <xf numFmtId="0" fontId="0" fillId="2" borderId="10" xfId="0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9" xfId="0" applyFont="1" applyFill="1" applyBorder="1" applyAlignment="1" applyProtection="1">
      <alignment horizontal="left" vertical="center" wrapText="1"/>
      <protection locked="0"/>
    </xf>
    <xf numFmtId="0" fontId="0" fillId="0" borderId="2" xfId="0" applyBorder="1"/>
    <xf numFmtId="0" fontId="0" fillId="0" borderId="2" xfId="0" applyBorder="1" applyAlignment="1">
      <alignment horizontal="center"/>
    </xf>
    <xf numFmtId="0" fontId="5" fillId="2" borderId="0" xfId="0" applyFont="1" applyFill="1" applyBorder="1" applyAlignment="1" applyProtection="1">
      <alignment wrapText="1"/>
      <protection locked="0"/>
    </xf>
    <xf numFmtId="0" fontId="12" fillId="0" borderId="2" xfId="0" applyFont="1" applyBorder="1"/>
    <xf numFmtId="0" fontId="5" fillId="2" borderId="0" xfId="0" applyNumberFormat="1" applyFont="1" applyFill="1" applyBorder="1" applyAlignment="1" applyProtection="1">
      <alignment wrapText="1"/>
      <protection locked="0"/>
    </xf>
    <xf numFmtId="0" fontId="0" fillId="0" borderId="7" xfId="0" applyBorder="1" applyAlignment="1">
      <alignment horizontal="center"/>
    </xf>
    <xf numFmtId="49" fontId="10" fillId="0" borderId="0" xfId="0" applyNumberFormat="1" applyFont="1" applyAlignment="1">
      <alignment horizontal="left" indent="1"/>
    </xf>
    <xf numFmtId="0" fontId="12" fillId="0" borderId="7" xfId="0" applyFont="1" applyBorder="1"/>
    <xf numFmtId="0" fontId="0" fillId="0" borderId="7" xfId="0" applyBorder="1"/>
    <xf numFmtId="0" fontId="3" fillId="8" borderId="13" xfId="0" applyFont="1" applyFill="1" applyBorder="1" applyAlignment="1" applyProtection="1">
      <alignment horizontal="center"/>
      <protection locked="0"/>
    </xf>
    <xf numFmtId="0" fontId="3" fillId="8" borderId="15" xfId="0" applyFont="1" applyFill="1" applyBorder="1" applyAlignment="1" applyProtection="1">
      <alignment horizontal="center"/>
      <protection locked="0"/>
    </xf>
    <xf numFmtId="0" fontId="3" fillId="8" borderId="14" xfId="0" applyFont="1" applyFill="1" applyBorder="1" applyAlignment="1" applyProtection="1">
      <alignment horizontal="center"/>
      <protection locked="0"/>
    </xf>
    <xf numFmtId="0" fontId="3" fillId="8" borderId="12" xfId="0" applyFont="1" applyFill="1" applyBorder="1" applyAlignment="1" applyProtection="1">
      <alignment horizontal="center"/>
      <protection locked="0"/>
    </xf>
    <xf numFmtId="0" fontId="1" fillId="8" borderId="16" xfId="0" applyFont="1" applyFill="1" applyBorder="1" applyAlignment="1" applyProtection="1">
      <alignment horizontal="center"/>
      <protection locked="0"/>
    </xf>
    <xf numFmtId="0" fontId="1" fillId="8" borderId="13" xfId="0" applyFont="1" applyFill="1" applyBorder="1" applyAlignment="1" applyProtection="1">
      <alignment horizontal="center"/>
      <protection locked="0"/>
    </xf>
    <xf numFmtId="0" fontId="1" fillId="8" borderId="15" xfId="0" applyFont="1" applyFill="1" applyBorder="1" applyAlignment="1" applyProtection="1">
      <alignment horizontal="center"/>
      <protection locked="0"/>
    </xf>
    <xf numFmtId="0" fontId="1" fillId="8" borderId="14" xfId="0" applyFont="1" applyFill="1" applyBorder="1" applyAlignment="1" applyProtection="1">
      <alignment horizontal="center"/>
      <protection locked="0"/>
    </xf>
    <xf numFmtId="0" fontId="1" fillId="8" borderId="12" xfId="0" applyFont="1" applyFill="1" applyBorder="1" applyAlignment="1" applyProtection="1">
      <alignment horizontal="center"/>
      <protection locked="0"/>
    </xf>
    <xf numFmtId="0" fontId="1" fillId="2" borderId="0" xfId="0" applyFont="1" applyFill="1" applyAlignment="1">
      <alignment vertical="top"/>
    </xf>
    <xf numFmtId="0" fontId="1" fillId="2" borderId="10" xfId="0" applyFont="1" applyFill="1" applyBorder="1" applyAlignment="1" applyProtection="1">
      <alignment vertical="center" wrapText="1"/>
      <protection locked="0"/>
    </xf>
    <xf numFmtId="0" fontId="3" fillId="0" borderId="17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8" fillId="4" borderId="10" xfId="0" applyFont="1" applyFill="1" applyBorder="1" applyAlignment="1">
      <alignment horizontal="center"/>
    </xf>
  </cellXfs>
  <cellStyles count="2">
    <cellStyle name="Prozent" xfId="1" builtinId="5"/>
    <cellStyle name="Standard" xfId="0" builtinId="0"/>
  </cellStyles>
  <dxfs count="6"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5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DDDDDD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2</xdr:row>
      <xdr:rowOff>9525</xdr:rowOff>
    </xdr:from>
    <xdr:to>
      <xdr:col>1</xdr:col>
      <xdr:colOff>1190625</xdr:colOff>
      <xdr:row>2</xdr:row>
      <xdr:rowOff>190500</xdr:rowOff>
    </xdr:to>
    <xdr:sp macro="" textlink="">
      <xdr:nvSpPr>
        <xdr:cNvPr id="16401" name="Text Box 17"/>
        <xdr:cNvSpPr txBox="1">
          <a:spLocks noChangeArrowheads="1"/>
        </xdr:cNvSpPr>
      </xdr:nvSpPr>
      <xdr:spPr bwMode="auto">
        <a:xfrm>
          <a:off x="28575" y="438150"/>
          <a:ext cx="1619250" cy="180975"/>
        </a:xfrm>
        <a:prstGeom prst="rect">
          <a:avLst/>
        </a:prstGeom>
        <a:solidFill>
          <a:srgbClr val="FFFFCC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36000" tIns="0" rIns="90000" bIns="0" anchor="ctr" upright="1"/>
        <a:lstStyle/>
        <a:p>
          <a:pPr algn="l" rtl="0">
            <a:defRPr sz="1000"/>
          </a:pPr>
          <a:r>
            <a:rPr lang="de-CH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Projektname</a:t>
          </a:r>
        </a:p>
      </xdr:txBody>
    </xdr:sp>
    <xdr:clientData/>
  </xdr:twoCellAnchor>
  <xdr:twoCellAnchor>
    <xdr:from>
      <xdr:col>0</xdr:col>
      <xdr:colOff>28575</xdr:colOff>
      <xdr:row>3</xdr:row>
      <xdr:rowOff>0</xdr:rowOff>
    </xdr:from>
    <xdr:to>
      <xdr:col>1</xdr:col>
      <xdr:colOff>1190625</xdr:colOff>
      <xdr:row>3</xdr:row>
      <xdr:rowOff>180975</xdr:rowOff>
    </xdr:to>
    <xdr:sp macro="" textlink="">
      <xdr:nvSpPr>
        <xdr:cNvPr id="16402" name="Text Box 18"/>
        <xdr:cNvSpPr txBox="1">
          <a:spLocks noChangeArrowheads="1"/>
        </xdr:cNvSpPr>
      </xdr:nvSpPr>
      <xdr:spPr bwMode="auto">
        <a:xfrm>
          <a:off x="28575" y="628650"/>
          <a:ext cx="1619250" cy="180975"/>
        </a:xfrm>
        <a:prstGeom prst="rect">
          <a:avLst/>
        </a:prstGeom>
        <a:solidFill>
          <a:srgbClr val="FFFFCC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36000" tIns="0" rIns="90000" bIns="0" anchor="ctr" upright="1"/>
        <a:lstStyle/>
        <a:p>
          <a:pPr algn="l" rtl="0">
            <a:defRPr sz="1000"/>
          </a:pPr>
          <a:r>
            <a:rPr lang="de-CH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Auftragsnummer</a:t>
          </a:r>
        </a:p>
      </xdr:txBody>
    </xdr:sp>
    <xdr:clientData/>
  </xdr:twoCellAnchor>
  <xdr:twoCellAnchor>
    <xdr:from>
      <xdr:col>0</xdr:col>
      <xdr:colOff>28575</xdr:colOff>
      <xdr:row>4</xdr:row>
      <xdr:rowOff>0</xdr:rowOff>
    </xdr:from>
    <xdr:to>
      <xdr:col>1</xdr:col>
      <xdr:colOff>1190625</xdr:colOff>
      <xdr:row>4</xdr:row>
      <xdr:rowOff>180975</xdr:rowOff>
    </xdr:to>
    <xdr:sp macro="" textlink="">
      <xdr:nvSpPr>
        <xdr:cNvPr id="16403" name="Text Box 19"/>
        <xdr:cNvSpPr txBox="1">
          <a:spLocks noChangeArrowheads="1"/>
        </xdr:cNvSpPr>
      </xdr:nvSpPr>
      <xdr:spPr bwMode="auto">
        <a:xfrm>
          <a:off x="28575" y="819150"/>
          <a:ext cx="1619250" cy="180975"/>
        </a:xfrm>
        <a:prstGeom prst="rect">
          <a:avLst/>
        </a:prstGeom>
        <a:solidFill>
          <a:srgbClr val="FFFFCC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36000" tIns="0" rIns="90000" bIns="0" anchor="ctr" upright="1"/>
        <a:lstStyle/>
        <a:p>
          <a:pPr algn="l" rtl="0">
            <a:defRPr sz="1000"/>
          </a:pPr>
          <a:r>
            <a:rPr lang="de-CH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Datum</a:t>
          </a:r>
        </a:p>
      </xdr:txBody>
    </xdr:sp>
    <xdr:clientData/>
  </xdr:twoCellAnchor>
  <xdr:twoCellAnchor>
    <xdr:from>
      <xdr:col>1</xdr:col>
      <xdr:colOff>1200150</xdr:colOff>
      <xdr:row>2</xdr:row>
      <xdr:rowOff>9525</xdr:rowOff>
    </xdr:from>
    <xdr:to>
      <xdr:col>1</xdr:col>
      <xdr:colOff>4257675</xdr:colOff>
      <xdr:row>2</xdr:row>
      <xdr:rowOff>190500</xdr:rowOff>
    </xdr:to>
    <xdr:sp macro="" textlink="">
      <xdr:nvSpPr>
        <xdr:cNvPr id="16404" name="Textfeld 4"/>
        <xdr:cNvSpPr txBox="1">
          <a:spLocks noChangeArrowheads="1" noTextEdit="1"/>
        </xdr:cNvSpPr>
      </xdr:nvSpPr>
      <xdr:spPr bwMode="auto">
        <a:xfrm>
          <a:off x="1657350" y="438150"/>
          <a:ext cx="3057525" cy="180975"/>
        </a:xfrm>
        <a:prstGeom prst="rect">
          <a:avLst/>
        </a:prstGeom>
        <a:solidFill>
          <a:srgbClr val="DDDDDD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18288" tIns="0" rIns="0" bIns="0" anchor="ctr" upright="1"/>
        <a:lstStyle/>
        <a:p>
          <a:r>
            <a:rPr lang="de-DE"/>
            <a:t> </a:t>
          </a:r>
        </a:p>
      </xdr:txBody>
    </xdr:sp>
    <xdr:clientData/>
  </xdr:twoCellAnchor>
  <xdr:twoCellAnchor>
    <xdr:from>
      <xdr:col>1</xdr:col>
      <xdr:colOff>1200150</xdr:colOff>
      <xdr:row>3</xdr:row>
      <xdr:rowOff>0</xdr:rowOff>
    </xdr:from>
    <xdr:to>
      <xdr:col>1</xdr:col>
      <xdr:colOff>4257675</xdr:colOff>
      <xdr:row>3</xdr:row>
      <xdr:rowOff>180975</xdr:rowOff>
    </xdr:to>
    <xdr:sp macro="" textlink="Risikobewertung!C4">
      <xdr:nvSpPr>
        <xdr:cNvPr id="16405" name="Text Box 21"/>
        <xdr:cNvSpPr txBox="1">
          <a:spLocks noChangeArrowheads="1" noTextEdit="1"/>
        </xdr:cNvSpPr>
      </xdr:nvSpPr>
      <xdr:spPr bwMode="auto">
        <a:xfrm>
          <a:off x="1657350" y="628650"/>
          <a:ext cx="3057525" cy="180975"/>
        </a:xfrm>
        <a:prstGeom prst="rect">
          <a:avLst/>
        </a:prstGeom>
        <a:solidFill>
          <a:srgbClr val="DDDDDD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18288" tIns="0" rIns="0" bIns="0" anchor="ctr" upright="1"/>
        <a:lstStyle/>
        <a:p>
          <a:fld id="{63D04ADB-51E7-4224-A7DD-515DC9D08F4F}" type="TxLink">
            <a:rPr lang="de-DE"/>
            <a:pPr/>
            <a:t>9879</a:t>
          </a:fld>
          <a:endParaRPr lang="de-DE"/>
        </a:p>
      </xdr:txBody>
    </xdr:sp>
    <xdr:clientData/>
  </xdr:twoCellAnchor>
  <xdr:twoCellAnchor>
    <xdr:from>
      <xdr:col>1</xdr:col>
      <xdr:colOff>1200150</xdr:colOff>
      <xdr:row>4</xdr:row>
      <xdr:rowOff>0</xdr:rowOff>
    </xdr:from>
    <xdr:to>
      <xdr:col>1</xdr:col>
      <xdr:colOff>4257675</xdr:colOff>
      <xdr:row>4</xdr:row>
      <xdr:rowOff>180975</xdr:rowOff>
    </xdr:to>
    <xdr:sp macro="" textlink="Risikobewertung!C5">
      <xdr:nvSpPr>
        <xdr:cNvPr id="16406" name="Text Box 22"/>
        <xdr:cNvSpPr txBox="1">
          <a:spLocks noChangeArrowheads="1" noTextEdit="1"/>
        </xdr:cNvSpPr>
      </xdr:nvSpPr>
      <xdr:spPr bwMode="auto">
        <a:xfrm>
          <a:off x="1657350" y="819150"/>
          <a:ext cx="3057525" cy="180975"/>
        </a:xfrm>
        <a:prstGeom prst="rect">
          <a:avLst/>
        </a:prstGeom>
        <a:solidFill>
          <a:srgbClr val="DDDDDD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18288" tIns="0" rIns="0" bIns="0" anchor="ctr" upright="1"/>
        <a:lstStyle/>
        <a:p>
          <a:fld id="{EE4956DC-86EF-48BF-AFEC-0CB55B76C8CA}" type="TxLink">
            <a:rPr lang="de-DE"/>
            <a:pPr/>
            <a:t>01.07.2018</a:t>
          </a:fld>
          <a:endParaRPr lang="de-DE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4400550</xdr:colOff>
          <xdr:row>0</xdr:row>
          <xdr:rowOff>28575</xdr:rowOff>
        </xdr:from>
        <xdr:to>
          <xdr:col>4</xdr:col>
          <xdr:colOff>85725</xdr:colOff>
          <xdr:row>3</xdr:row>
          <xdr:rowOff>9525</xdr:rowOff>
        </xdr:to>
        <xdr:sp macro="" textlink="">
          <xdr:nvSpPr>
            <xdr:cNvPr id="16399" name="CommandButton1" hidden="1">
              <a:extLst>
                <a:ext uri="{63B3BB69-23CF-44E3-9099-C40C66FF867C}">
                  <a14:compatExt spid="_x0000_s163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1895475</xdr:colOff>
          <xdr:row>3</xdr:row>
          <xdr:rowOff>0</xdr:rowOff>
        </xdr:from>
        <xdr:to>
          <xdr:col>3</xdr:col>
          <xdr:colOff>3476625</xdr:colOff>
          <xdr:row>5</xdr:row>
          <xdr:rowOff>9525</xdr:rowOff>
        </xdr:to>
        <xdr:sp macro="" textlink="">
          <xdr:nvSpPr>
            <xdr:cNvPr id="15369" name="Button 9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0" tIns="10800" rIns="0" bIns="10800" anchor="ctr" upright="1"/>
            <a:lstStyle/>
            <a:p>
              <a:pPr algn="ctr" rtl="0">
                <a:defRPr sz="1000"/>
              </a:pPr>
              <a:r>
                <a:rPr lang="de-CH" sz="1000" b="1" i="1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Leere Zeilen ausblenden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28575</xdr:colOff>
      <xdr:row>1</xdr:row>
      <xdr:rowOff>123825</xdr:rowOff>
    </xdr:from>
    <xdr:to>
      <xdr:col>2</xdr:col>
      <xdr:colOff>1152525</xdr:colOff>
      <xdr:row>3</xdr:row>
      <xdr:rowOff>38100</xdr:rowOff>
    </xdr:to>
    <xdr:sp macro="" textlink="">
      <xdr:nvSpPr>
        <xdr:cNvPr id="15377" name="Text Box 17"/>
        <xdr:cNvSpPr txBox="1">
          <a:spLocks noChangeArrowheads="1"/>
        </xdr:cNvSpPr>
      </xdr:nvSpPr>
      <xdr:spPr bwMode="auto">
        <a:xfrm>
          <a:off x="28575" y="352425"/>
          <a:ext cx="1619250" cy="200025"/>
        </a:xfrm>
        <a:prstGeom prst="rect">
          <a:avLst/>
        </a:prstGeom>
        <a:solidFill>
          <a:srgbClr val="FFFFCC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36000" tIns="0" rIns="90000" bIns="0" anchor="ctr" upright="1"/>
        <a:lstStyle/>
        <a:p>
          <a:pPr algn="l" rtl="0">
            <a:defRPr sz="1000"/>
          </a:pPr>
          <a:r>
            <a:rPr lang="de-CH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Projektname</a:t>
          </a:r>
        </a:p>
      </xdr:txBody>
    </xdr:sp>
    <xdr:clientData/>
  </xdr:twoCellAnchor>
  <xdr:twoCellAnchor>
    <xdr:from>
      <xdr:col>1</xdr:col>
      <xdr:colOff>28575</xdr:colOff>
      <xdr:row>3</xdr:row>
      <xdr:rowOff>47625</xdr:rowOff>
    </xdr:from>
    <xdr:to>
      <xdr:col>2</xdr:col>
      <xdr:colOff>1152525</xdr:colOff>
      <xdr:row>4</xdr:row>
      <xdr:rowOff>104775</xdr:rowOff>
    </xdr:to>
    <xdr:sp macro="" textlink="">
      <xdr:nvSpPr>
        <xdr:cNvPr id="15378" name="Text Box 18"/>
        <xdr:cNvSpPr txBox="1">
          <a:spLocks noChangeArrowheads="1"/>
        </xdr:cNvSpPr>
      </xdr:nvSpPr>
      <xdr:spPr bwMode="auto">
        <a:xfrm>
          <a:off x="28575" y="561975"/>
          <a:ext cx="1619250" cy="200025"/>
        </a:xfrm>
        <a:prstGeom prst="rect">
          <a:avLst/>
        </a:prstGeom>
        <a:solidFill>
          <a:srgbClr val="FFFFCC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36000" tIns="0" rIns="90000" bIns="0" anchor="ctr" upright="1"/>
        <a:lstStyle/>
        <a:p>
          <a:pPr algn="l" rtl="0">
            <a:defRPr sz="1000"/>
          </a:pPr>
          <a:r>
            <a:rPr lang="de-CH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Auftragsnummer</a:t>
          </a:r>
        </a:p>
      </xdr:txBody>
    </xdr:sp>
    <xdr:clientData/>
  </xdr:twoCellAnchor>
  <xdr:twoCellAnchor>
    <xdr:from>
      <xdr:col>1</xdr:col>
      <xdr:colOff>28575</xdr:colOff>
      <xdr:row>4</xdr:row>
      <xdr:rowOff>114300</xdr:rowOff>
    </xdr:from>
    <xdr:to>
      <xdr:col>2</xdr:col>
      <xdr:colOff>1152525</xdr:colOff>
      <xdr:row>6</xdr:row>
      <xdr:rowOff>28575</xdr:rowOff>
    </xdr:to>
    <xdr:sp macro="" textlink="">
      <xdr:nvSpPr>
        <xdr:cNvPr id="15379" name="Text Box 19"/>
        <xdr:cNvSpPr txBox="1">
          <a:spLocks noChangeArrowheads="1"/>
        </xdr:cNvSpPr>
      </xdr:nvSpPr>
      <xdr:spPr bwMode="auto">
        <a:xfrm>
          <a:off x="28575" y="771525"/>
          <a:ext cx="1619250" cy="200025"/>
        </a:xfrm>
        <a:prstGeom prst="rect">
          <a:avLst/>
        </a:prstGeom>
        <a:solidFill>
          <a:srgbClr val="FFFFCC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36000" tIns="0" rIns="90000" bIns="0" anchor="ctr" upright="1"/>
        <a:lstStyle/>
        <a:p>
          <a:pPr algn="l" rtl="0">
            <a:defRPr sz="1000"/>
          </a:pPr>
          <a:r>
            <a:rPr lang="de-CH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Datum</a:t>
          </a:r>
        </a:p>
      </xdr:txBody>
    </xdr:sp>
    <xdr:clientData/>
  </xdr:twoCellAnchor>
  <xdr:twoCellAnchor>
    <xdr:from>
      <xdr:col>2</xdr:col>
      <xdr:colOff>1162050</xdr:colOff>
      <xdr:row>1</xdr:row>
      <xdr:rowOff>123825</xdr:rowOff>
    </xdr:from>
    <xdr:to>
      <xdr:col>3</xdr:col>
      <xdr:colOff>1552575</xdr:colOff>
      <xdr:row>3</xdr:row>
      <xdr:rowOff>38100</xdr:rowOff>
    </xdr:to>
    <xdr:sp macro="" textlink="C3">
      <xdr:nvSpPr>
        <xdr:cNvPr id="15380" name="Textfeld 4"/>
        <xdr:cNvSpPr txBox="1">
          <a:spLocks noChangeArrowheads="1" noTextEdit="1"/>
        </xdr:cNvSpPr>
      </xdr:nvSpPr>
      <xdr:spPr bwMode="auto">
        <a:xfrm>
          <a:off x="1657350" y="352425"/>
          <a:ext cx="3057525" cy="200025"/>
        </a:xfrm>
        <a:prstGeom prst="rect">
          <a:avLst/>
        </a:prstGeom>
        <a:solidFill>
          <a:srgbClr val="DDDDDD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18288" tIns="0" rIns="0" bIns="0" anchor="ctr" upright="1"/>
        <a:lstStyle/>
        <a:p>
          <a:fld id="{46FD7BAA-C83B-4CED-92AC-40400F7128C2}" type="TxLink">
            <a:rPr lang="de-DE"/>
            <a:pPr/>
            <a:t>Kanalisation Thannerstrasse</a:t>
          </a:fld>
          <a:endParaRPr lang="de-DE"/>
        </a:p>
      </xdr:txBody>
    </xdr:sp>
    <xdr:clientData/>
  </xdr:twoCellAnchor>
  <xdr:twoCellAnchor>
    <xdr:from>
      <xdr:col>2</xdr:col>
      <xdr:colOff>1162050</xdr:colOff>
      <xdr:row>3</xdr:row>
      <xdr:rowOff>47625</xdr:rowOff>
    </xdr:from>
    <xdr:to>
      <xdr:col>3</xdr:col>
      <xdr:colOff>1552575</xdr:colOff>
      <xdr:row>4</xdr:row>
      <xdr:rowOff>104775</xdr:rowOff>
    </xdr:to>
    <xdr:sp macro="" textlink="C4">
      <xdr:nvSpPr>
        <xdr:cNvPr id="15381" name="Text Box 21"/>
        <xdr:cNvSpPr txBox="1">
          <a:spLocks noChangeArrowheads="1" noTextEdit="1"/>
        </xdr:cNvSpPr>
      </xdr:nvSpPr>
      <xdr:spPr bwMode="auto">
        <a:xfrm>
          <a:off x="1657350" y="561975"/>
          <a:ext cx="3057525" cy="200025"/>
        </a:xfrm>
        <a:prstGeom prst="rect">
          <a:avLst/>
        </a:prstGeom>
        <a:solidFill>
          <a:srgbClr val="DDDDDD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18288" tIns="0" rIns="0" bIns="0" anchor="ctr" upright="1"/>
        <a:lstStyle/>
        <a:p>
          <a:fld id="{47B5F4D1-A054-4EE8-9FAC-00B8E0E877FD}" type="TxLink">
            <a:rPr lang="de-DE"/>
            <a:pPr/>
            <a:t>9879</a:t>
          </a:fld>
          <a:endParaRPr lang="de-DE"/>
        </a:p>
      </xdr:txBody>
    </xdr:sp>
    <xdr:clientData/>
  </xdr:twoCellAnchor>
  <xdr:twoCellAnchor>
    <xdr:from>
      <xdr:col>2</xdr:col>
      <xdr:colOff>1162050</xdr:colOff>
      <xdr:row>4</xdr:row>
      <xdr:rowOff>114300</xdr:rowOff>
    </xdr:from>
    <xdr:to>
      <xdr:col>3</xdr:col>
      <xdr:colOff>1552575</xdr:colOff>
      <xdr:row>6</xdr:row>
      <xdr:rowOff>28575</xdr:rowOff>
    </xdr:to>
    <xdr:sp macro="" textlink="C5">
      <xdr:nvSpPr>
        <xdr:cNvPr id="15382" name="Text Box 22"/>
        <xdr:cNvSpPr txBox="1">
          <a:spLocks noChangeArrowheads="1" noTextEdit="1"/>
        </xdr:cNvSpPr>
      </xdr:nvSpPr>
      <xdr:spPr bwMode="auto">
        <a:xfrm>
          <a:off x="1657350" y="771525"/>
          <a:ext cx="3057525" cy="200025"/>
        </a:xfrm>
        <a:prstGeom prst="rect">
          <a:avLst/>
        </a:prstGeom>
        <a:solidFill>
          <a:srgbClr val="DDDDDD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18288" tIns="0" rIns="0" bIns="0" anchor="ctr" upright="1"/>
        <a:lstStyle/>
        <a:p>
          <a:fld id="{7B051B04-1053-4B66-BA75-CBF1996F98B4}" type="TxLink">
            <a:rPr lang="de-DE"/>
            <a:pPr/>
            <a:t>01.07.2018</a:t>
          </a:fld>
          <a:endParaRPr lang="de-DE"/>
        </a:p>
      </xdr:txBody>
    </xdr:sp>
    <xdr:clientData/>
  </xdr:twoCellAnchor>
  <xdr:twoCellAnchor>
    <xdr:from>
      <xdr:col>3</xdr:col>
      <xdr:colOff>3933826</xdr:colOff>
      <xdr:row>2</xdr:row>
      <xdr:rowOff>28576</xdr:rowOff>
    </xdr:from>
    <xdr:to>
      <xdr:col>7</xdr:col>
      <xdr:colOff>219075</xdr:colOff>
      <xdr:row>5</xdr:row>
      <xdr:rowOff>123825</xdr:rowOff>
    </xdr:to>
    <xdr:sp macro="" textlink="">
      <xdr:nvSpPr>
        <xdr:cNvPr id="2" name="Textfeld 1"/>
        <xdr:cNvSpPr txBox="1"/>
      </xdr:nvSpPr>
      <xdr:spPr>
        <a:xfrm>
          <a:off x="7419976" y="400051"/>
          <a:ext cx="1219199" cy="5238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72000" tIns="18000" rIns="72000" bIns="18000" rtlCol="0" anchor="t"/>
        <a:lstStyle/>
        <a:p>
          <a:r>
            <a:rPr lang="de-CH" sz="800">
              <a:latin typeface="Arial" panose="020B0604020202020204" pitchFamily="34" charset="0"/>
              <a:cs typeface="Arial" panose="020B0604020202020204" pitchFamily="34" charset="0"/>
            </a:rPr>
            <a:t>0</a:t>
          </a:r>
          <a:r>
            <a:rPr lang="de-CH" sz="800" baseline="0">
              <a:latin typeface="Arial" panose="020B0604020202020204" pitchFamily="34" charset="0"/>
              <a:cs typeface="Arial" panose="020B0604020202020204" pitchFamily="34" charset="0"/>
            </a:rPr>
            <a:t> = keine Auswirkung</a:t>
          </a:r>
        </a:p>
        <a:p>
          <a:r>
            <a:rPr lang="de-CH" sz="800" baseline="0">
              <a:latin typeface="Arial" panose="020B0604020202020204" pitchFamily="34" charset="0"/>
              <a:cs typeface="Arial" panose="020B0604020202020204" pitchFamily="34" charset="0"/>
            </a:rPr>
            <a:t>1 = geringe Auswirkung</a:t>
          </a:r>
        </a:p>
        <a:p>
          <a:r>
            <a:rPr lang="de-CH" sz="800" baseline="0">
              <a:latin typeface="Arial" panose="020B0604020202020204" pitchFamily="34" charset="0"/>
              <a:cs typeface="Arial" panose="020B0604020202020204" pitchFamily="34" charset="0"/>
            </a:rPr>
            <a:t>2 = mittlere Auswirkung</a:t>
          </a:r>
        </a:p>
        <a:p>
          <a:r>
            <a:rPr lang="de-CH" sz="800" baseline="0">
              <a:latin typeface="Arial" panose="020B0604020202020204" pitchFamily="34" charset="0"/>
              <a:cs typeface="Arial" panose="020B0604020202020204" pitchFamily="34" charset="0"/>
            </a:rPr>
            <a:t>3 = grosse Auswirkung</a:t>
          </a:r>
          <a:endParaRPr lang="de-CH" sz="8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G91"/>
  <sheetViews>
    <sheetView tabSelected="1" workbookViewId="0">
      <selection activeCell="K6" sqref="K6"/>
    </sheetView>
  </sheetViews>
  <sheetFormatPr baseColWidth="10" defaultRowHeight="15"/>
  <cols>
    <col min="1" max="1" width="6.85546875" customWidth="1"/>
    <col min="2" max="2" width="72.5703125" customWidth="1"/>
    <col min="3" max="4" width="4.5703125" style="41" customWidth="1"/>
    <col min="5" max="5" width="4.28515625" style="49" customWidth="1"/>
    <col min="6" max="6" width="11.42578125" hidden="1" customWidth="1"/>
  </cols>
  <sheetData>
    <row r="1" spans="1:7" ht="25.5" customHeight="1">
      <c r="A1" s="79" t="s">
        <v>27</v>
      </c>
      <c r="B1" s="80"/>
      <c r="C1" s="77"/>
      <c r="D1" s="77"/>
      <c r="E1" s="50"/>
      <c r="F1" s="66"/>
    </row>
    <row r="2" spans="1:7" ht="3.75" customHeight="1">
      <c r="A2" s="75"/>
      <c r="B2" s="72"/>
      <c r="C2" s="73"/>
      <c r="D2" s="73"/>
    </row>
    <row r="3" spans="1:7" ht="15.75" customHeight="1">
      <c r="A3" s="66"/>
      <c r="B3" s="66"/>
      <c r="C3" s="94"/>
      <c r="D3" s="94"/>
    </row>
    <row r="4" spans="1:7" ht="15" customHeight="1">
      <c r="C4" s="92" t="s">
        <v>28</v>
      </c>
      <c r="D4" s="93"/>
    </row>
    <row r="5" spans="1:7" ht="15" customHeight="1">
      <c r="C5" s="69" t="s">
        <v>29</v>
      </c>
      <c r="D5" s="69" t="s">
        <v>30</v>
      </c>
    </row>
    <row r="6" spans="1:7" ht="20.25" customHeight="1">
      <c r="A6" s="40" t="s">
        <v>134</v>
      </c>
      <c r="B6" s="66"/>
      <c r="C6" s="70"/>
      <c r="D6" s="70"/>
      <c r="E6" s="50"/>
      <c r="F6" s="66"/>
      <c r="G6" s="66"/>
    </row>
    <row r="7" spans="1:7" ht="15" customHeight="1">
      <c r="A7" s="63" t="s">
        <v>142</v>
      </c>
      <c r="B7" s="46" t="s">
        <v>79</v>
      </c>
      <c r="C7" s="85"/>
      <c r="D7" s="85" t="s">
        <v>80</v>
      </c>
      <c r="E7" s="49" t="str">
        <f>IF(AND(C7="",D7=""),"!","")</f>
        <v/>
      </c>
      <c r="F7" s="46" t="s">
        <v>82</v>
      </c>
    </row>
    <row r="8" spans="1:7" ht="15" customHeight="1">
      <c r="A8" s="63" t="s">
        <v>143</v>
      </c>
      <c r="B8" s="46" t="s">
        <v>31</v>
      </c>
      <c r="C8" s="86" t="s">
        <v>80</v>
      </c>
      <c r="D8" s="86"/>
      <c r="E8" s="49" t="str">
        <f t="shared" ref="E8:E18" si="0">IF(AND(C8="",D8=""),"!","")</f>
        <v/>
      </c>
      <c r="F8" s="46" t="s">
        <v>83</v>
      </c>
    </row>
    <row r="9" spans="1:7" ht="15" customHeight="1">
      <c r="A9" s="63" t="s">
        <v>144</v>
      </c>
      <c r="B9" s="46" t="s">
        <v>32</v>
      </c>
      <c r="C9" s="86"/>
      <c r="D9" s="86" t="s">
        <v>80</v>
      </c>
      <c r="E9" s="49" t="str">
        <f t="shared" si="0"/>
        <v/>
      </c>
      <c r="F9" s="46" t="s">
        <v>84</v>
      </c>
    </row>
    <row r="10" spans="1:7" ht="15" customHeight="1">
      <c r="A10" s="63" t="s">
        <v>145</v>
      </c>
      <c r="B10" s="46" t="s">
        <v>33</v>
      </c>
      <c r="C10" s="86"/>
      <c r="D10" s="86" t="s">
        <v>80</v>
      </c>
      <c r="E10" s="49" t="str">
        <f t="shared" si="0"/>
        <v/>
      </c>
      <c r="F10" s="46" t="s">
        <v>85</v>
      </c>
    </row>
    <row r="11" spans="1:7" ht="15" customHeight="1">
      <c r="A11" s="63" t="s">
        <v>146</v>
      </c>
      <c r="B11" s="46" t="s">
        <v>34</v>
      </c>
      <c r="C11" s="86"/>
      <c r="D11" s="86" t="s">
        <v>80</v>
      </c>
      <c r="E11" s="49" t="str">
        <f t="shared" si="0"/>
        <v/>
      </c>
      <c r="F11" s="46" t="s">
        <v>86</v>
      </c>
    </row>
    <row r="12" spans="1:7" ht="15" customHeight="1">
      <c r="A12" s="63" t="s">
        <v>147</v>
      </c>
      <c r="B12" s="46" t="s">
        <v>35</v>
      </c>
      <c r="C12" s="86"/>
      <c r="D12" s="86" t="s">
        <v>80</v>
      </c>
      <c r="E12" s="49" t="str">
        <f t="shared" si="0"/>
        <v/>
      </c>
      <c r="F12" s="46" t="s">
        <v>87</v>
      </c>
    </row>
    <row r="13" spans="1:7" ht="15" customHeight="1">
      <c r="A13" s="63" t="s">
        <v>148</v>
      </c>
      <c r="B13" s="46" t="s">
        <v>36</v>
      </c>
      <c r="C13" s="86"/>
      <c r="D13" s="86" t="s">
        <v>80</v>
      </c>
      <c r="E13" s="49" t="str">
        <f t="shared" si="0"/>
        <v/>
      </c>
      <c r="F13" s="46" t="s">
        <v>88</v>
      </c>
    </row>
    <row r="14" spans="1:7" ht="15" customHeight="1">
      <c r="A14" s="63" t="s">
        <v>149</v>
      </c>
      <c r="B14" s="46" t="s">
        <v>37</v>
      </c>
      <c r="C14" s="86"/>
      <c r="D14" s="86" t="s">
        <v>80</v>
      </c>
      <c r="E14" s="49" t="str">
        <f t="shared" si="0"/>
        <v/>
      </c>
      <c r="F14" s="46" t="s">
        <v>89</v>
      </c>
    </row>
    <row r="15" spans="1:7" ht="15" customHeight="1">
      <c r="A15" s="63" t="s">
        <v>150</v>
      </c>
      <c r="B15" s="46" t="s">
        <v>38</v>
      </c>
      <c r="C15" s="86"/>
      <c r="D15" s="86" t="s">
        <v>80</v>
      </c>
      <c r="E15" s="49" t="str">
        <f t="shared" si="0"/>
        <v/>
      </c>
      <c r="F15" s="46" t="s">
        <v>90</v>
      </c>
    </row>
    <row r="16" spans="1:7" ht="15" customHeight="1">
      <c r="A16" s="63" t="s">
        <v>151</v>
      </c>
      <c r="B16" s="46" t="s">
        <v>77</v>
      </c>
      <c r="C16" s="86"/>
      <c r="D16" s="86" t="s">
        <v>80</v>
      </c>
      <c r="E16" s="49" t="str">
        <f t="shared" si="0"/>
        <v/>
      </c>
      <c r="F16" s="46" t="s">
        <v>91</v>
      </c>
    </row>
    <row r="17" spans="1:6" ht="15" customHeight="1">
      <c r="A17" s="63" t="s">
        <v>152</v>
      </c>
      <c r="B17" s="46" t="s">
        <v>78</v>
      </c>
      <c r="C17" s="87"/>
      <c r="D17" s="87" t="s">
        <v>80</v>
      </c>
      <c r="E17" s="49" t="str">
        <f t="shared" si="0"/>
        <v/>
      </c>
      <c r="F17" s="46" t="s">
        <v>92</v>
      </c>
    </row>
    <row r="18" spans="1:6" ht="15" customHeight="1">
      <c r="A18" s="63" t="s">
        <v>153</v>
      </c>
      <c r="B18" s="64" t="s">
        <v>202</v>
      </c>
      <c r="C18" s="88"/>
      <c r="D18" s="88"/>
      <c r="E18" s="49" t="str">
        <f t="shared" si="0"/>
        <v>!</v>
      </c>
      <c r="F18" s="46" t="str">
        <f>B18</f>
        <v>…………………………</v>
      </c>
    </row>
    <row r="19" spans="1:6" ht="8.1" customHeight="1">
      <c r="A19" s="62"/>
      <c r="B19" s="43"/>
      <c r="C19" s="42"/>
      <c r="D19" s="42"/>
      <c r="E19" s="50"/>
      <c r="F19" s="43"/>
    </row>
    <row r="20" spans="1:6" ht="15.75">
      <c r="A20" s="44" t="s">
        <v>135</v>
      </c>
      <c r="C20" s="42"/>
      <c r="D20" s="42"/>
      <c r="E20" s="50"/>
    </row>
    <row r="21" spans="1:6" ht="15" customHeight="1">
      <c r="A21" s="63" t="s">
        <v>154</v>
      </c>
      <c r="B21" s="46" t="s">
        <v>204</v>
      </c>
      <c r="C21" s="89"/>
      <c r="D21" s="89" t="s">
        <v>80</v>
      </c>
      <c r="E21" s="49" t="str">
        <f>IF(AND(C21="",D21=""),"!","")</f>
        <v/>
      </c>
      <c r="F21" s="46" t="s">
        <v>93</v>
      </c>
    </row>
    <row r="22" spans="1:6" ht="15" customHeight="1">
      <c r="A22" s="63" t="s">
        <v>155</v>
      </c>
      <c r="B22" s="46" t="s">
        <v>39</v>
      </c>
      <c r="C22" s="86"/>
      <c r="D22" s="86" t="s">
        <v>80</v>
      </c>
      <c r="E22" s="49" t="str">
        <f>IF(AND(C22="",D22=""),"!","")</f>
        <v/>
      </c>
      <c r="F22" s="46" t="s">
        <v>94</v>
      </c>
    </row>
    <row r="23" spans="1:6" ht="15" customHeight="1">
      <c r="A23" s="63" t="s">
        <v>156</v>
      </c>
      <c r="B23" s="64" t="s">
        <v>202</v>
      </c>
      <c r="C23" s="83"/>
      <c r="D23" s="88"/>
      <c r="E23" s="49" t="str">
        <f>IF(AND(C23="",D23=""),"!","")</f>
        <v>!</v>
      </c>
      <c r="F23" s="46" t="str">
        <f>B23</f>
        <v>…………………………</v>
      </c>
    </row>
    <row r="24" spans="1:6" ht="8.1" customHeight="1">
      <c r="A24" s="62"/>
      <c r="B24" s="43"/>
      <c r="C24" s="42"/>
      <c r="D24" s="42"/>
      <c r="E24" s="50"/>
      <c r="F24" s="43"/>
    </row>
    <row r="25" spans="1:6" ht="15.75">
      <c r="A25" s="44" t="s">
        <v>136</v>
      </c>
      <c r="C25" s="42"/>
      <c r="D25" s="42"/>
      <c r="E25" s="50"/>
    </row>
    <row r="26" spans="1:6" ht="15" customHeight="1">
      <c r="A26" s="63" t="s">
        <v>157</v>
      </c>
      <c r="B26" s="46" t="s">
        <v>40</v>
      </c>
      <c r="C26" s="89"/>
      <c r="D26" s="89" t="s">
        <v>80</v>
      </c>
      <c r="E26" s="49" t="str">
        <f>IF(AND(C26="",D26=""),"!","")</f>
        <v/>
      </c>
      <c r="F26" s="46" t="s">
        <v>95</v>
      </c>
    </row>
    <row r="27" spans="1:6" ht="15" customHeight="1">
      <c r="A27" s="63" t="s">
        <v>158</v>
      </c>
      <c r="B27" s="46" t="s">
        <v>41</v>
      </c>
      <c r="C27" s="81"/>
      <c r="D27" s="86" t="s">
        <v>80</v>
      </c>
      <c r="E27" s="49" t="str">
        <f>IF(AND(C27="",D27=""),"!","")</f>
        <v/>
      </c>
      <c r="F27" s="46" t="s">
        <v>96</v>
      </c>
    </row>
    <row r="28" spans="1:6" ht="15" customHeight="1">
      <c r="A28" s="63" t="s">
        <v>159</v>
      </c>
      <c r="B28" s="46" t="s">
        <v>42</v>
      </c>
      <c r="C28" s="86"/>
      <c r="D28" s="86" t="s">
        <v>80</v>
      </c>
      <c r="E28" s="49" t="str">
        <f>IF(AND(C28="",D28=""),"!","")</f>
        <v/>
      </c>
      <c r="F28" s="46" t="s">
        <v>97</v>
      </c>
    </row>
    <row r="29" spans="1:6" ht="15" customHeight="1">
      <c r="A29" s="63" t="s">
        <v>160</v>
      </c>
      <c r="B29" s="46" t="s">
        <v>43</v>
      </c>
      <c r="C29" s="86"/>
      <c r="D29" s="86" t="s">
        <v>80</v>
      </c>
      <c r="E29" s="49" t="str">
        <f>IF(AND(C29="",D29=""),"!","")</f>
        <v/>
      </c>
      <c r="F29" s="46" t="s">
        <v>98</v>
      </c>
    </row>
    <row r="30" spans="1:6" ht="15" customHeight="1">
      <c r="A30" s="63" t="s">
        <v>161</v>
      </c>
      <c r="B30" s="46" t="s">
        <v>217</v>
      </c>
      <c r="C30" s="82"/>
      <c r="D30" s="87" t="s">
        <v>80</v>
      </c>
      <c r="E30" s="49" t="str">
        <f t="shared" ref="E30:E33" si="1">IF(AND(C30="",D30=""),"!","")</f>
        <v/>
      </c>
      <c r="F30" s="46" t="s">
        <v>218</v>
      </c>
    </row>
    <row r="31" spans="1:6" ht="15" customHeight="1">
      <c r="A31" s="63" t="s">
        <v>214</v>
      </c>
      <c r="B31" s="46" t="s">
        <v>221</v>
      </c>
      <c r="C31" s="82"/>
      <c r="D31" s="87" t="s">
        <v>80</v>
      </c>
      <c r="E31" s="49" t="str">
        <f t="shared" si="1"/>
        <v/>
      </c>
      <c r="F31" s="46" t="s">
        <v>222</v>
      </c>
    </row>
    <row r="32" spans="1:6" ht="15" customHeight="1">
      <c r="A32" s="63" t="s">
        <v>215</v>
      </c>
      <c r="B32" s="46" t="s">
        <v>219</v>
      </c>
      <c r="C32" s="87"/>
      <c r="D32" s="87" t="s">
        <v>80</v>
      </c>
      <c r="E32" s="49" t="str">
        <f t="shared" si="1"/>
        <v/>
      </c>
      <c r="F32" s="46" t="s">
        <v>220</v>
      </c>
    </row>
    <row r="33" spans="1:6" ht="15" customHeight="1">
      <c r="A33" s="63" t="s">
        <v>216</v>
      </c>
      <c r="B33" s="64" t="s">
        <v>202</v>
      </c>
      <c r="C33" s="88"/>
      <c r="D33" s="48"/>
      <c r="E33" s="49" t="str">
        <f t="shared" si="1"/>
        <v>!</v>
      </c>
      <c r="F33" s="46" t="str">
        <f>B33</f>
        <v>…………………………</v>
      </c>
    </row>
    <row r="34" spans="1:6" ht="8.1" customHeight="1">
      <c r="A34" s="62"/>
      <c r="B34" s="43"/>
      <c r="C34" s="42"/>
      <c r="D34" s="42"/>
      <c r="E34" s="50"/>
      <c r="F34" s="43"/>
    </row>
    <row r="35" spans="1:6" ht="15.75">
      <c r="A35" s="44" t="s">
        <v>137</v>
      </c>
      <c r="C35" s="42"/>
      <c r="D35" s="42"/>
      <c r="E35" s="50"/>
    </row>
    <row r="36" spans="1:6" ht="15" customHeight="1">
      <c r="A36" s="63" t="s">
        <v>162</v>
      </c>
      <c r="B36" s="46" t="s">
        <v>44</v>
      </c>
      <c r="C36" s="84"/>
      <c r="D36" s="89" t="s">
        <v>80</v>
      </c>
      <c r="E36" s="49" t="str">
        <f t="shared" ref="E36:E45" si="2">IF(AND(C36="",D36=""),"!","")</f>
        <v/>
      </c>
      <c r="F36" s="46" t="s">
        <v>99</v>
      </c>
    </row>
    <row r="37" spans="1:6" ht="15" customHeight="1">
      <c r="A37" s="63" t="s">
        <v>163</v>
      </c>
      <c r="B37" s="46" t="s">
        <v>223</v>
      </c>
      <c r="C37" s="86"/>
      <c r="D37" s="86" t="s">
        <v>80</v>
      </c>
      <c r="E37" s="49" t="str">
        <f t="shared" si="2"/>
        <v/>
      </c>
      <c r="F37" s="46" t="s">
        <v>224</v>
      </c>
    </row>
    <row r="38" spans="1:6" ht="15" customHeight="1">
      <c r="A38" s="63" t="s">
        <v>164</v>
      </c>
      <c r="B38" s="46" t="s">
        <v>45</v>
      </c>
      <c r="C38" s="81"/>
      <c r="D38" s="86" t="s">
        <v>80</v>
      </c>
      <c r="E38" s="49" t="str">
        <f t="shared" si="2"/>
        <v/>
      </c>
      <c r="F38" s="46" t="s">
        <v>100</v>
      </c>
    </row>
    <row r="39" spans="1:6" ht="15" customHeight="1">
      <c r="A39" s="63" t="s">
        <v>165</v>
      </c>
      <c r="B39" s="46" t="s">
        <v>46</v>
      </c>
      <c r="C39" s="86"/>
      <c r="D39" s="86" t="s">
        <v>80</v>
      </c>
      <c r="E39" s="49" t="str">
        <f t="shared" si="2"/>
        <v/>
      </c>
      <c r="F39" s="46" t="s">
        <v>101</v>
      </c>
    </row>
    <row r="40" spans="1:6" ht="15" customHeight="1">
      <c r="A40" s="63" t="s">
        <v>166</v>
      </c>
      <c r="B40" s="46" t="s">
        <v>47</v>
      </c>
      <c r="C40" s="81"/>
      <c r="D40" s="86" t="s">
        <v>80</v>
      </c>
      <c r="E40" s="49" t="str">
        <f t="shared" si="2"/>
        <v/>
      </c>
      <c r="F40" s="46" t="s">
        <v>102</v>
      </c>
    </row>
    <row r="41" spans="1:6" ht="15" customHeight="1">
      <c r="A41" s="63" t="s">
        <v>167</v>
      </c>
      <c r="B41" s="46" t="s">
        <v>48</v>
      </c>
      <c r="C41" s="86"/>
      <c r="D41" s="86" t="s">
        <v>80</v>
      </c>
      <c r="E41" s="49" t="str">
        <f t="shared" si="2"/>
        <v/>
      </c>
      <c r="F41" s="46" t="s">
        <v>103</v>
      </c>
    </row>
    <row r="42" spans="1:6" ht="15" customHeight="1">
      <c r="A42" s="63" t="s">
        <v>168</v>
      </c>
      <c r="B42" s="46" t="s">
        <v>49</v>
      </c>
      <c r="C42" s="81"/>
      <c r="D42" s="86" t="s">
        <v>80</v>
      </c>
      <c r="E42" s="49" t="str">
        <f t="shared" si="2"/>
        <v/>
      </c>
      <c r="F42" s="46" t="s">
        <v>104</v>
      </c>
    </row>
    <row r="43" spans="1:6" ht="15" customHeight="1">
      <c r="A43" s="63" t="s">
        <v>169</v>
      </c>
      <c r="B43" s="46" t="s">
        <v>50</v>
      </c>
      <c r="C43" s="86"/>
      <c r="D43" s="86" t="s">
        <v>80</v>
      </c>
      <c r="E43" s="49" t="str">
        <f t="shared" si="2"/>
        <v/>
      </c>
      <c r="F43" s="46" t="s">
        <v>105</v>
      </c>
    </row>
    <row r="44" spans="1:6" ht="15" customHeight="1">
      <c r="A44" s="63" t="s">
        <v>170</v>
      </c>
      <c r="B44" s="46" t="s">
        <v>51</v>
      </c>
      <c r="C44" s="81"/>
      <c r="D44" s="86" t="s">
        <v>80</v>
      </c>
      <c r="E44" s="49" t="str">
        <f t="shared" si="2"/>
        <v/>
      </c>
      <c r="F44" s="46" t="s">
        <v>106</v>
      </c>
    </row>
    <row r="45" spans="1:6" ht="15" customHeight="1">
      <c r="A45" s="63" t="s">
        <v>171</v>
      </c>
      <c r="B45" s="64" t="s">
        <v>202</v>
      </c>
      <c r="C45" s="88"/>
      <c r="D45" s="48"/>
      <c r="E45" s="49" t="str">
        <f t="shared" si="2"/>
        <v>!</v>
      </c>
      <c r="F45" s="46" t="str">
        <f>B45</f>
        <v>…………………………</v>
      </c>
    </row>
    <row r="46" spans="1:6" ht="8.1" customHeight="1">
      <c r="A46" s="62"/>
      <c r="B46" s="43"/>
      <c r="C46" s="42"/>
      <c r="D46" s="42"/>
      <c r="E46" s="50"/>
      <c r="F46" s="43"/>
    </row>
    <row r="47" spans="1:6" ht="15.75">
      <c r="A47" s="44" t="s">
        <v>138</v>
      </c>
      <c r="C47" s="42"/>
      <c r="D47" s="42"/>
      <c r="E47" s="50"/>
    </row>
    <row r="48" spans="1:6" ht="15" customHeight="1">
      <c r="A48" s="63" t="s">
        <v>172</v>
      </c>
      <c r="B48" s="46" t="s">
        <v>52</v>
      </c>
      <c r="C48" s="89"/>
      <c r="D48" s="89" t="s">
        <v>80</v>
      </c>
      <c r="E48" s="49" t="str">
        <f t="shared" ref="E48:E53" si="3">IF(AND(C48="",D48=""),"!","")</f>
        <v/>
      </c>
      <c r="F48" s="46" t="s">
        <v>107</v>
      </c>
    </row>
    <row r="49" spans="1:7" ht="15" customHeight="1">
      <c r="A49" s="63" t="s">
        <v>173</v>
      </c>
      <c r="B49" s="46" t="s">
        <v>108</v>
      </c>
      <c r="C49" s="86"/>
      <c r="D49" s="86" t="s">
        <v>80</v>
      </c>
      <c r="E49" s="49" t="str">
        <f t="shared" si="3"/>
        <v/>
      </c>
      <c r="F49" s="46" t="s">
        <v>109</v>
      </c>
    </row>
    <row r="50" spans="1:7" ht="15" customHeight="1">
      <c r="A50" s="63" t="s">
        <v>174</v>
      </c>
      <c r="B50" s="46" t="s">
        <v>53</v>
      </c>
      <c r="C50" s="86" t="s">
        <v>80</v>
      </c>
      <c r="D50" s="47"/>
      <c r="E50" s="49" t="str">
        <f t="shared" si="3"/>
        <v/>
      </c>
      <c r="F50" s="46" t="s">
        <v>110</v>
      </c>
    </row>
    <row r="51" spans="1:7" ht="15" customHeight="1">
      <c r="A51" s="63" t="s">
        <v>175</v>
      </c>
      <c r="B51" s="46" t="s">
        <v>54</v>
      </c>
      <c r="C51" s="86"/>
      <c r="D51" s="86" t="s">
        <v>80</v>
      </c>
      <c r="E51" s="49" t="str">
        <f t="shared" si="3"/>
        <v/>
      </c>
      <c r="F51" s="46" t="s">
        <v>111</v>
      </c>
    </row>
    <row r="52" spans="1:7" ht="15" customHeight="1">
      <c r="A52" s="63" t="s">
        <v>176</v>
      </c>
      <c r="B52" s="46" t="s">
        <v>55</v>
      </c>
      <c r="C52" s="86"/>
      <c r="D52" s="86" t="s">
        <v>80</v>
      </c>
      <c r="E52" s="49" t="str">
        <f t="shared" si="3"/>
        <v/>
      </c>
      <c r="F52" s="46" t="s">
        <v>112</v>
      </c>
    </row>
    <row r="53" spans="1:7" ht="15" customHeight="1">
      <c r="A53" s="63" t="s">
        <v>177</v>
      </c>
      <c r="B53" s="64" t="s">
        <v>202</v>
      </c>
      <c r="C53" s="88"/>
      <c r="D53" s="48"/>
      <c r="E53" s="49" t="str">
        <f t="shared" si="3"/>
        <v>!</v>
      </c>
      <c r="F53" s="46" t="str">
        <f>B53</f>
        <v>…………………………</v>
      </c>
    </row>
    <row r="54" spans="1:7" ht="8.1" customHeight="1">
      <c r="A54" s="62"/>
      <c r="B54" s="43"/>
      <c r="C54" s="68"/>
      <c r="D54" s="68"/>
      <c r="E54" s="50"/>
      <c r="F54" s="43"/>
      <c r="G54" s="66"/>
    </row>
    <row r="55" spans="1:7" ht="15.75">
      <c r="A55" s="44" t="s">
        <v>139</v>
      </c>
      <c r="B55" s="66"/>
      <c r="C55" s="67"/>
      <c r="D55" s="67"/>
      <c r="E55" s="50"/>
      <c r="F55" s="66"/>
      <c r="G55" s="66"/>
    </row>
    <row r="56" spans="1:7" ht="15" customHeight="1">
      <c r="A56" s="63" t="s">
        <v>178</v>
      </c>
      <c r="B56" s="46" t="s">
        <v>56</v>
      </c>
      <c r="C56" s="84"/>
      <c r="D56" s="89" t="s">
        <v>80</v>
      </c>
      <c r="E56" s="49" t="str">
        <f t="shared" ref="E56:E66" si="4">IF(AND(C56="",D56=""),"!","")</f>
        <v/>
      </c>
      <c r="F56" s="46" t="s">
        <v>113</v>
      </c>
    </row>
    <row r="57" spans="1:7" ht="15" customHeight="1">
      <c r="A57" s="63" t="s">
        <v>179</v>
      </c>
      <c r="B57" s="46" t="s">
        <v>57</v>
      </c>
      <c r="C57" s="86"/>
      <c r="D57" s="86" t="s">
        <v>80</v>
      </c>
      <c r="E57" s="49" t="str">
        <f t="shared" si="4"/>
        <v/>
      </c>
      <c r="F57" s="46" t="s">
        <v>114</v>
      </c>
    </row>
    <row r="58" spans="1:7" ht="15" customHeight="1">
      <c r="A58" s="63" t="s">
        <v>180</v>
      </c>
      <c r="B58" s="46" t="s">
        <v>58</v>
      </c>
      <c r="C58" s="81"/>
      <c r="D58" s="86" t="s">
        <v>80</v>
      </c>
      <c r="E58" s="49" t="str">
        <f t="shared" si="4"/>
        <v/>
      </c>
      <c r="F58" s="46" t="s">
        <v>115</v>
      </c>
    </row>
    <row r="59" spans="1:7" ht="15" customHeight="1">
      <c r="A59" s="63" t="s">
        <v>181</v>
      </c>
      <c r="B59" s="46" t="s">
        <v>59</v>
      </c>
      <c r="C59" s="81"/>
      <c r="D59" s="86" t="s">
        <v>80</v>
      </c>
      <c r="E59" s="49" t="str">
        <f t="shared" si="4"/>
        <v/>
      </c>
      <c r="F59" s="46" t="s">
        <v>116</v>
      </c>
    </row>
    <row r="60" spans="1:7" ht="15" customHeight="1">
      <c r="A60" s="63" t="s">
        <v>182</v>
      </c>
      <c r="B60" s="46" t="s">
        <v>60</v>
      </c>
      <c r="C60" s="81"/>
      <c r="D60" s="86" t="s">
        <v>80</v>
      </c>
      <c r="E60" s="49" t="str">
        <f t="shared" si="4"/>
        <v/>
      </c>
      <c r="F60" s="46" t="s">
        <v>117</v>
      </c>
    </row>
    <row r="61" spans="1:7" ht="15" customHeight="1">
      <c r="A61" s="63" t="s">
        <v>183</v>
      </c>
      <c r="B61" s="46" t="s">
        <v>61</v>
      </c>
      <c r="C61" s="86"/>
      <c r="D61" s="86" t="s">
        <v>80</v>
      </c>
      <c r="E61" s="49" t="str">
        <f t="shared" si="4"/>
        <v/>
      </c>
      <c r="F61" s="46" t="s">
        <v>118</v>
      </c>
    </row>
    <row r="62" spans="1:7" ht="15" customHeight="1">
      <c r="A62" s="63" t="s">
        <v>184</v>
      </c>
      <c r="B62" s="46" t="s">
        <v>62</v>
      </c>
      <c r="C62" s="86"/>
      <c r="D62" s="86" t="s">
        <v>80</v>
      </c>
      <c r="E62" s="49" t="str">
        <f t="shared" si="4"/>
        <v/>
      </c>
      <c r="F62" s="46" t="s">
        <v>119</v>
      </c>
    </row>
    <row r="63" spans="1:7" ht="15" customHeight="1">
      <c r="A63" s="63" t="s">
        <v>185</v>
      </c>
      <c r="B63" s="46" t="s">
        <v>63</v>
      </c>
      <c r="C63" s="86"/>
      <c r="D63" s="86" t="s">
        <v>80</v>
      </c>
      <c r="E63" s="49" t="str">
        <f t="shared" si="4"/>
        <v/>
      </c>
      <c r="F63" s="46" t="s">
        <v>120</v>
      </c>
    </row>
    <row r="64" spans="1:7" ht="15" customHeight="1">
      <c r="A64" s="63" t="s">
        <v>186</v>
      </c>
      <c r="B64" s="46" t="s">
        <v>64</v>
      </c>
      <c r="C64" s="86"/>
      <c r="D64" s="86" t="s">
        <v>80</v>
      </c>
      <c r="E64" s="49" t="str">
        <f t="shared" si="4"/>
        <v/>
      </c>
      <c r="F64" s="46" t="s">
        <v>121</v>
      </c>
    </row>
    <row r="65" spans="1:6" ht="15" customHeight="1">
      <c r="A65" s="63" t="s">
        <v>187</v>
      </c>
      <c r="B65" s="46" t="s">
        <v>76</v>
      </c>
      <c r="C65" s="86" t="s">
        <v>80</v>
      </c>
      <c r="D65" s="86"/>
      <c r="E65" s="49" t="str">
        <f t="shared" si="4"/>
        <v/>
      </c>
      <c r="F65" s="46" t="s">
        <v>122</v>
      </c>
    </row>
    <row r="66" spans="1:6" ht="15" customHeight="1">
      <c r="A66" s="63" t="s">
        <v>188</v>
      </c>
      <c r="B66" s="64" t="s">
        <v>202</v>
      </c>
      <c r="C66" s="83"/>
      <c r="D66" s="88"/>
      <c r="E66" s="49" t="str">
        <f t="shared" si="4"/>
        <v>!</v>
      </c>
      <c r="F66" s="46" t="str">
        <f>B66</f>
        <v>…………………………</v>
      </c>
    </row>
    <row r="67" spans="1:6" ht="8.1" customHeight="1">
      <c r="A67" s="62"/>
      <c r="B67" s="43"/>
      <c r="C67" s="42"/>
      <c r="D67" s="42"/>
      <c r="E67" s="50"/>
      <c r="F67" s="43"/>
    </row>
    <row r="68" spans="1:6" ht="15.75">
      <c r="A68" s="44" t="s">
        <v>140</v>
      </c>
      <c r="C68" s="42"/>
      <c r="D68" s="42"/>
      <c r="E68" s="50"/>
    </row>
    <row r="69" spans="1:6" ht="15" customHeight="1">
      <c r="A69" s="63" t="s">
        <v>189</v>
      </c>
      <c r="B69" s="46" t="s">
        <v>65</v>
      </c>
      <c r="C69" s="89"/>
      <c r="D69" s="89" t="s">
        <v>80</v>
      </c>
      <c r="E69" s="49" t="str">
        <f t="shared" ref="E69:E74" si="5">IF(AND(C69="",D69=""),"!","")</f>
        <v/>
      </c>
      <c r="F69" s="46" t="s">
        <v>123</v>
      </c>
    </row>
    <row r="70" spans="1:6" ht="15" customHeight="1">
      <c r="A70" s="63" t="s">
        <v>190</v>
      </c>
      <c r="B70" s="46" t="s">
        <v>66</v>
      </c>
      <c r="C70" s="86"/>
      <c r="D70" s="86" t="s">
        <v>80</v>
      </c>
      <c r="E70" s="49" t="str">
        <f t="shared" si="5"/>
        <v/>
      </c>
      <c r="F70" s="46" t="s">
        <v>124</v>
      </c>
    </row>
    <row r="71" spans="1:6" ht="15" customHeight="1">
      <c r="A71" s="63" t="s">
        <v>191</v>
      </c>
      <c r="B71" s="46" t="s">
        <v>67</v>
      </c>
      <c r="C71" s="86"/>
      <c r="D71" s="86" t="s">
        <v>80</v>
      </c>
      <c r="E71" s="49" t="str">
        <f t="shared" si="5"/>
        <v/>
      </c>
      <c r="F71" s="46" t="s">
        <v>125</v>
      </c>
    </row>
    <row r="72" spans="1:6" ht="15" customHeight="1">
      <c r="A72" s="63" t="s">
        <v>192</v>
      </c>
      <c r="B72" s="46" t="s">
        <v>68</v>
      </c>
      <c r="C72" s="81"/>
      <c r="D72" s="86" t="s">
        <v>80</v>
      </c>
      <c r="E72" s="49" t="str">
        <f t="shared" si="5"/>
        <v/>
      </c>
      <c r="F72" s="46" t="s">
        <v>126</v>
      </c>
    </row>
    <row r="73" spans="1:6" ht="15" customHeight="1">
      <c r="A73" s="63" t="s">
        <v>193</v>
      </c>
      <c r="B73" s="46" t="s">
        <v>69</v>
      </c>
      <c r="C73" s="81"/>
      <c r="D73" s="86" t="s">
        <v>80</v>
      </c>
      <c r="E73" s="49" t="str">
        <f t="shared" si="5"/>
        <v/>
      </c>
      <c r="F73" s="46" t="s">
        <v>127</v>
      </c>
    </row>
    <row r="74" spans="1:6" ht="15" customHeight="1">
      <c r="A74" s="63" t="s">
        <v>194</v>
      </c>
      <c r="B74" s="64" t="s">
        <v>202</v>
      </c>
      <c r="C74" s="83"/>
      <c r="D74" s="88"/>
      <c r="E74" s="49" t="str">
        <f t="shared" si="5"/>
        <v>!</v>
      </c>
      <c r="F74" s="46" t="str">
        <f>B74</f>
        <v>…………………………</v>
      </c>
    </row>
    <row r="75" spans="1:6" ht="8.1" customHeight="1">
      <c r="A75" s="62"/>
      <c r="B75" s="43"/>
      <c r="C75" s="42"/>
      <c r="D75" s="42"/>
      <c r="E75" s="50"/>
      <c r="F75" s="43"/>
    </row>
    <row r="76" spans="1:6" ht="15.75">
      <c r="A76" s="44" t="s">
        <v>141</v>
      </c>
      <c r="C76" s="42"/>
      <c r="D76" s="42"/>
      <c r="E76" s="50"/>
    </row>
    <row r="77" spans="1:6" ht="15" customHeight="1">
      <c r="A77" s="63" t="s">
        <v>195</v>
      </c>
      <c r="B77" s="46" t="s">
        <v>70</v>
      </c>
      <c r="C77" s="84"/>
      <c r="D77" s="89" t="s">
        <v>80</v>
      </c>
      <c r="E77" s="49" t="str">
        <f t="shared" ref="E77:E83" si="6">IF(AND(C77="",D77=""),"!","")</f>
        <v/>
      </c>
      <c r="F77" s="46" t="s">
        <v>128</v>
      </c>
    </row>
    <row r="78" spans="1:6" ht="15" customHeight="1">
      <c r="A78" s="63" t="s">
        <v>196</v>
      </c>
      <c r="B78" s="46" t="s">
        <v>71</v>
      </c>
      <c r="C78" s="86"/>
      <c r="D78" s="86" t="s">
        <v>80</v>
      </c>
      <c r="E78" s="49" t="str">
        <f t="shared" si="6"/>
        <v/>
      </c>
      <c r="F78" s="46" t="s">
        <v>129</v>
      </c>
    </row>
    <row r="79" spans="1:6" ht="15" customHeight="1">
      <c r="A79" s="63" t="s">
        <v>197</v>
      </c>
      <c r="B79" s="46" t="s">
        <v>72</v>
      </c>
      <c r="C79" s="81"/>
      <c r="D79" s="86" t="s">
        <v>80</v>
      </c>
      <c r="E79" s="49" t="str">
        <f t="shared" si="6"/>
        <v/>
      </c>
      <c r="F79" s="46" t="s">
        <v>130</v>
      </c>
    </row>
    <row r="80" spans="1:6" ht="15" customHeight="1">
      <c r="A80" s="63" t="s">
        <v>198</v>
      </c>
      <c r="B80" s="46" t="s">
        <v>73</v>
      </c>
      <c r="C80" s="86"/>
      <c r="D80" s="86" t="s">
        <v>80</v>
      </c>
      <c r="E80" s="49" t="str">
        <f t="shared" si="6"/>
        <v/>
      </c>
      <c r="F80" s="46" t="s">
        <v>131</v>
      </c>
    </row>
    <row r="81" spans="1:6" ht="15" customHeight="1">
      <c r="A81" s="78" t="s">
        <v>199</v>
      </c>
      <c r="B81" s="46" t="s">
        <v>74</v>
      </c>
      <c r="C81" s="81"/>
      <c r="D81" s="86" t="s">
        <v>80</v>
      </c>
      <c r="E81" s="49" t="str">
        <f t="shared" si="6"/>
        <v/>
      </c>
      <c r="F81" s="46" t="s">
        <v>132</v>
      </c>
    </row>
    <row r="82" spans="1:6" ht="15" customHeight="1">
      <c r="A82" s="78" t="s">
        <v>200</v>
      </c>
      <c r="B82" s="46" t="s">
        <v>75</v>
      </c>
      <c r="C82" s="87"/>
      <c r="D82" s="87" t="s">
        <v>80</v>
      </c>
      <c r="E82" s="49" t="str">
        <f t="shared" si="6"/>
        <v/>
      </c>
      <c r="F82" s="46" t="s">
        <v>133</v>
      </c>
    </row>
    <row r="83" spans="1:6" ht="15" customHeight="1">
      <c r="A83" s="63" t="s">
        <v>201</v>
      </c>
      <c r="B83" s="64" t="s">
        <v>202</v>
      </c>
      <c r="C83" s="83"/>
      <c r="D83" s="88"/>
      <c r="E83" s="49" t="str">
        <f t="shared" si="6"/>
        <v>!</v>
      </c>
      <c r="F83" s="46" t="str">
        <f>B83</f>
        <v>…………………………</v>
      </c>
    </row>
    <row r="84" spans="1:6" ht="8.1" customHeight="1">
      <c r="A84" s="62"/>
      <c r="B84" s="43"/>
      <c r="C84" s="42"/>
      <c r="D84" s="42"/>
      <c r="E84" s="50"/>
      <c r="F84" s="43"/>
    </row>
    <row r="85" spans="1:6" ht="15.75">
      <c r="A85" s="44" t="s">
        <v>205</v>
      </c>
      <c r="C85" s="42"/>
      <c r="D85" s="42"/>
      <c r="E85" s="50"/>
    </row>
    <row r="86" spans="1:6" ht="15" customHeight="1">
      <c r="A86" s="78" t="s">
        <v>206</v>
      </c>
      <c r="B86" s="64" t="s">
        <v>210</v>
      </c>
      <c r="C86" s="84"/>
      <c r="D86" s="89" t="s">
        <v>80</v>
      </c>
      <c r="E86" s="49" t="str">
        <f t="shared" ref="E86:E89" si="7">IF(AND(C86="",D86=""),"!","")</f>
        <v/>
      </c>
      <c r="F86" s="46" t="s">
        <v>211</v>
      </c>
    </row>
    <row r="87" spans="1:6" ht="15" customHeight="1">
      <c r="A87" s="78" t="s">
        <v>207</v>
      </c>
      <c r="B87" s="64" t="s">
        <v>225</v>
      </c>
      <c r="C87" s="86" t="s">
        <v>80</v>
      </c>
      <c r="D87" s="86"/>
      <c r="E87" s="49" t="str">
        <f t="shared" si="7"/>
        <v/>
      </c>
      <c r="F87" s="64" t="s">
        <v>226</v>
      </c>
    </row>
    <row r="88" spans="1:6" ht="15" customHeight="1">
      <c r="A88" s="78" t="s">
        <v>208</v>
      </c>
      <c r="B88" s="64" t="s">
        <v>212</v>
      </c>
      <c r="C88" s="86" t="s">
        <v>80</v>
      </c>
      <c r="D88" s="47"/>
      <c r="E88" s="49" t="str">
        <f t="shared" si="7"/>
        <v/>
      </c>
      <c r="F88" s="64" t="s">
        <v>213</v>
      </c>
    </row>
    <row r="89" spans="1:6" ht="15" customHeight="1">
      <c r="A89" s="78" t="s">
        <v>209</v>
      </c>
      <c r="B89" s="64" t="s">
        <v>202</v>
      </c>
      <c r="C89" s="88"/>
      <c r="D89" s="48"/>
      <c r="E89" s="49" t="str">
        <f t="shared" si="7"/>
        <v>!</v>
      </c>
      <c r="F89" s="46" t="str">
        <f>B89</f>
        <v>…………………………</v>
      </c>
    </row>
    <row r="90" spans="1:6" ht="8.1" customHeight="1">
      <c r="A90" s="62"/>
    </row>
    <row r="91" spans="1:6">
      <c r="B91" s="60" t="s">
        <v>81</v>
      </c>
      <c r="C91" s="61">
        <f>COUNTIF(C7:C90,"X")</f>
        <v>5</v>
      </c>
    </row>
  </sheetData>
  <mergeCells count="2">
    <mergeCell ref="C4:D4"/>
    <mergeCell ref="C3:D3"/>
  </mergeCells>
  <phoneticPr fontId="0" type="noConversion"/>
  <pageMargins left="0.74803149606299213" right="0.6692913385826772" top="0.94488188976377963" bottom="0.43307086614173229" header="0.39370078740157483" footer="0.27559055118110237"/>
  <pageSetup paperSize="9" scale="97" fitToHeight="2" orientation="portrait" r:id="rId1"/>
  <headerFooter differentFirst="1">
    <oddHeader xml:space="preserve">&amp;R&amp;G
</oddHeader>
    <oddFooter>&amp;R&amp;"Arial,Fett"&amp;9 311.025.QCL / V 7.0 / &amp;"Arial,Standard"&amp;8Gültig ab: 15.12.2016 / Seite &amp;P (&amp;N)</oddFooter>
    <firstHeader>&amp;R&amp;G</firstHeader>
  </headerFooter>
  <rowBreaks count="1" manualBreakCount="1">
    <brk id="53" max="3" man="1"/>
  </rowBreaks>
  <drawing r:id="rId2"/>
  <legacyDrawing r:id="rId3"/>
  <legacyDrawingHF r:id="rId4"/>
  <controls>
    <mc:AlternateContent xmlns:mc="http://schemas.openxmlformats.org/markup-compatibility/2006">
      <mc:Choice Requires="x14">
        <control shapeId="16399" r:id="rId5" name="CommandButton1">
          <controlPr defaultSize="0" print="0" autoFill="0" autoLine="0" r:id="rId6">
            <anchor moveWithCells="1">
              <from>
                <xdr:col>1</xdr:col>
                <xdr:colOff>4400550</xdr:colOff>
                <xdr:row>0</xdr:row>
                <xdr:rowOff>28575</xdr:rowOff>
              </from>
              <to>
                <xdr:col>4</xdr:col>
                <xdr:colOff>85725</xdr:colOff>
                <xdr:row>3</xdr:row>
                <xdr:rowOff>9525</xdr:rowOff>
              </to>
            </anchor>
          </controlPr>
        </control>
      </mc:Choice>
      <mc:Fallback>
        <control shapeId="16399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>
    <pageSetUpPr fitToPage="1"/>
  </sheetPr>
  <dimension ref="A1:N92"/>
  <sheetViews>
    <sheetView topLeftCell="B1" workbookViewId="0">
      <pane ySplit="8" topLeftCell="A9" activePane="bottomLeft" state="frozenSplit"/>
      <selection pane="bottomLeft" activeCell="A9" sqref="A9:XFD75"/>
    </sheetView>
  </sheetViews>
  <sheetFormatPr baseColWidth="10" defaultRowHeight="11.25"/>
  <cols>
    <col min="1" max="1" width="4.28515625" style="3" hidden="1" customWidth="1"/>
    <col min="2" max="2" width="12.28515625" style="7" customWidth="1"/>
    <col min="3" max="3" width="40" style="2" customWidth="1"/>
    <col min="4" max="4" width="59.85546875" style="2" customWidth="1"/>
    <col min="5" max="7" width="4.7109375" style="3" customWidth="1"/>
    <col min="8" max="8" width="7.5703125" style="3" customWidth="1"/>
    <col min="9" max="9" width="7.85546875" style="3" customWidth="1"/>
    <col min="10" max="10" width="16.5703125" style="3" customWidth="1"/>
    <col min="11" max="11" width="45.85546875" style="3" customWidth="1"/>
    <col min="12" max="12" width="36.7109375" style="2" customWidth="1"/>
    <col min="13" max="13" width="7.7109375" style="4" hidden="1" customWidth="1"/>
    <col min="14" max="14" width="8.85546875" style="3" hidden="1" customWidth="1"/>
    <col min="15" max="15" width="16.28515625" style="2" bestFit="1" customWidth="1"/>
    <col min="16" max="16384" width="11.42578125" style="2"/>
  </cols>
  <sheetData>
    <row r="1" spans="1:14" ht="18">
      <c r="B1" s="1" t="s">
        <v>203</v>
      </c>
    </row>
    <row r="3" spans="1:14">
      <c r="B3" s="65"/>
      <c r="C3" s="74" t="s">
        <v>242</v>
      </c>
      <c r="D3" s="20"/>
      <c r="E3" s="2"/>
      <c r="L3" s="3"/>
      <c r="M3" s="3"/>
      <c r="N3" s="2"/>
    </row>
    <row r="4" spans="1:14">
      <c r="B4" s="65"/>
      <c r="C4" s="74">
        <v>9879</v>
      </c>
      <c r="D4" s="20"/>
      <c r="E4" s="2"/>
      <c r="L4" s="3"/>
      <c r="M4" s="3"/>
      <c r="N4" s="2"/>
    </row>
    <row r="5" spans="1:14">
      <c r="B5" s="65"/>
      <c r="C5" s="76" t="s">
        <v>243</v>
      </c>
      <c r="D5" s="20"/>
      <c r="E5" s="2"/>
      <c r="L5" s="3"/>
      <c r="M5" s="3"/>
      <c r="N5" s="2"/>
    </row>
    <row r="7" spans="1:14" ht="12">
      <c r="B7" s="5"/>
      <c r="C7" s="4"/>
      <c r="D7" s="4"/>
      <c r="E7" s="95" t="s">
        <v>1</v>
      </c>
      <c r="F7" s="95"/>
      <c r="G7" s="95"/>
      <c r="H7" s="6"/>
      <c r="I7" s="6"/>
      <c r="J7" s="6"/>
      <c r="K7" s="6"/>
      <c r="L7" s="4"/>
    </row>
    <row r="8" spans="1:14" s="26" customFormat="1" ht="15" customHeight="1">
      <c r="A8" s="45" t="s">
        <v>80</v>
      </c>
      <c r="B8" s="30" t="s">
        <v>2</v>
      </c>
      <c r="C8" s="30" t="s">
        <v>3</v>
      </c>
      <c r="D8" s="30" t="s">
        <v>23</v>
      </c>
      <c r="E8" s="30" t="s">
        <v>4</v>
      </c>
      <c r="F8" s="30" t="s">
        <v>5</v>
      </c>
      <c r="G8" s="30" t="s">
        <v>6</v>
      </c>
      <c r="H8" s="30" t="s">
        <v>7</v>
      </c>
      <c r="I8" s="30" t="s">
        <v>8</v>
      </c>
      <c r="J8" s="30" t="s">
        <v>0</v>
      </c>
      <c r="K8" s="30" t="s">
        <v>22</v>
      </c>
      <c r="L8" s="30" t="s">
        <v>227</v>
      </c>
      <c r="M8" s="29"/>
      <c r="N8" s="25"/>
    </row>
    <row r="9" spans="1:14" s="26" customFormat="1" ht="12.75" hidden="1">
      <c r="A9" s="25" t="str">
        <f t="shared" ref="A9:A40" si="0">IF(VLOOKUP(N9,R_Analyse,3,FALSE)="","","x")</f>
        <v/>
      </c>
      <c r="B9" s="27">
        <f>0+(M9=TRUE)</f>
        <v>0</v>
      </c>
      <c r="C9" s="28" t="str">
        <f t="shared" ref="C9:C40" si="1">IF(A9="x",VLOOKUP(N9,R_Analyse,6,FALSE),"")</f>
        <v/>
      </c>
      <c r="D9" s="54"/>
      <c r="E9" s="55"/>
      <c r="F9" s="55"/>
      <c r="G9" s="55"/>
      <c r="H9" s="56"/>
      <c r="I9" s="39" t="str">
        <f t="shared" ref="I9" si="2">IF(A9="","",SUM(E9:G9)*H9)</f>
        <v/>
      </c>
      <c r="J9" s="38" t="str">
        <f t="shared" ref="J9" si="3">IF(A9="","",IF(I9&lt;0.4,"geringe Priorität",IF(I9&lt;0.8,"mittlere Priorität",IF(I9&lt;1,"hohe Priorität","sehr hohe Priorität"))))</f>
        <v/>
      </c>
      <c r="K9" s="71"/>
      <c r="L9" s="51"/>
      <c r="M9" s="24" t="b">
        <f>A9="x"</f>
        <v>0</v>
      </c>
      <c r="N9" s="26" t="s">
        <v>142</v>
      </c>
    </row>
    <row r="10" spans="1:14" s="26" customFormat="1" ht="25.5">
      <c r="A10" s="25" t="str">
        <f t="shared" si="0"/>
        <v>x</v>
      </c>
      <c r="B10" s="27">
        <f>B9+(M10=TRUE)</f>
        <v>1</v>
      </c>
      <c r="C10" s="28" t="str">
        <f t="shared" si="1"/>
        <v>Umwelteinflüsse können Projekt behindern oder gefährden</v>
      </c>
      <c r="D10" s="91" t="s">
        <v>240</v>
      </c>
      <c r="E10" s="57">
        <v>1</v>
      </c>
      <c r="F10" s="57">
        <v>1</v>
      </c>
      <c r="G10" s="57">
        <v>2</v>
      </c>
      <c r="H10" s="58">
        <v>0.4</v>
      </c>
      <c r="I10" s="39">
        <f t="shared" ref="I10:I73" si="4">IF(A10="","",SUM(E10:G10)*H10)</f>
        <v>1.6</v>
      </c>
      <c r="J10" s="38" t="str">
        <f t="shared" ref="J10:J73" si="5">IF(A10="","",IF(I10&lt;0.4,"geringe Priorität",IF(I10&lt;0.8,"mittlere Priorität",IF(I10&lt;1,"hohe Priorität","sehr hohe Priorität"))))</f>
        <v>sehr hohe Priorität</v>
      </c>
      <c r="K10" s="53"/>
      <c r="L10" s="52"/>
      <c r="M10" s="24" t="b">
        <f t="shared" ref="M10:M75" si="6">A10="x"</f>
        <v>1</v>
      </c>
      <c r="N10" s="26" t="s">
        <v>143</v>
      </c>
    </row>
    <row r="11" spans="1:14" s="26" customFormat="1" ht="12.75" hidden="1">
      <c r="A11" s="25" t="str">
        <f t="shared" si="0"/>
        <v/>
      </c>
      <c r="B11" s="27">
        <f t="shared" ref="B11:B74" si="7">B10+(M11=TRUE)</f>
        <v>1</v>
      </c>
      <c r="C11" s="28" t="str">
        <f t="shared" si="1"/>
        <v/>
      </c>
      <c r="D11" s="52"/>
      <c r="E11" s="57"/>
      <c r="F11" s="57"/>
      <c r="G11" s="57"/>
      <c r="H11" s="58"/>
      <c r="I11" s="39" t="str">
        <f t="shared" si="4"/>
        <v/>
      </c>
      <c r="J11" s="38" t="str">
        <f t="shared" si="5"/>
        <v/>
      </c>
      <c r="K11" s="53"/>
      <c r="L11" s="52"/>
      <c r="M11" s="24" t="b">
        <f t="shared" si="6"/>
        <v>0</v>
      </c>
      <c r="N11" s="26" t="s">
        <v>144</v>
      </c>
    </row>
    <row r="12" spans="1:14" s="26" customFormat="1" ht="12.75" hidden="1">
      <c r="A12" s="25" t="str">
        <f t="shared" si="0"/>
        <v/>
      </c>
      <c r="B12" s="27">
        <f t="shared" si="7"/>
        <v>1</v>
      </c>
      <c r="C12" s="28" t="str">
        <f t="shared" si="1"/>
        <v/>
      </c>
      <c r="D12" s="54"/>
      <c r="E12" s="57"/>
      <c r="F12" s="57"/>
      <c r="G12" s="57"/>
      <c r="H12" s="58"/>
      <c r="I12" s="39" t="str">
        <f t="shared" si="4"/>
        <v/>
      </c>
      <c r="J12" s="38" t="str">
        <f t="shared" si="5"/>
        <v/>
      </c>
      <c r="K12" s="71"/>
      <c r="L12" s="52"/>
      <c r="M12" s="24" t="b">
        <f t="shared" si="6"/>
        <v>0</v>
      </c>
      <c r="N12" s="26" t="s">
        <v>145</v>
      </c>
    </row>
    <row r="13" spans="1:14" s="26" customFormat="1" ht="12.75" hidden="1">
      <c r="A13" s="25" t="str">
        <f t="shared" si="0"/>
        <v/>
      </c>
      <c r="B13" s="27">
        <f t="shared" si="7"/>
        <v>1</v>
      </c>
      <c r="C13" s="28" t="str">
        <f t="shared" si="1"/>
        <v/>
      </c>
      <c r="D13" s="54"/>
      <c r="E13" s="57"/>
      <c r="F13" s="57"/>
      <c r="G13" s="57"/>
      <c r="H13" s="58"/>
      <c r="I13" s="39" t="str">
        <f t="shared" si="4"/>
        <v/>
      </c>
      <c r="J13" s="38" t="str">
        <f t="shared" si="5"/>
        <v/>
      </c>
      <c r="K13" s="53"/>
      <c r="L13" s="52"/>
      <c r="M13" s="24" t="b">
        <f t="shared" si="6"/>
        <v>0</v>
      </c>
      <c r="N13" s="26" t="s">
        <v>146</v>
      </c>
    </row>
    <row r="14" spans="1:14" s="26" customFormat="1" ht="12.75" hidden="1">
      <c r="A14" s="25" t="str">
        <f t="shared" si="0"/>
        <v/>
      </c>
      <c r="B14" s="27">
        <f t="shared" si="7"/>
        <v>1</v>
      </c>
      <c r="C14" s="28" t="str">
        <f t="shared" si="1"/>
        <v/>
      </c>
      <c r="D14" s="52"/>
      <c r="E14" s="57"/>
      <c r="F14" s="57"/>
      <c r="G14" s="57"/>
      <c r="H14" s="58"/>
      <c r="I14" s="39" t="str">
        <f t="shared" si="4"/>
        <v/>
      </c>
      <c r="J14" s="38" t="str">
        <f t="shared" si="5"/>
        <v/>
      </c>
      <c r="K14" s="53"/>
      <c r="L14" s="52"/>
      <c r="M14" s="24" t="b">
        <f t="shared" si="6"/>
        <v>0</v>
      </c>
      <c r="N14" s="26" t="s">
        <v>147</v>
      </c>
    </row>
    <row r="15" spans="1:14" s="26" customFormat="1" ht="12.75" hidden="1">
      <c r="A15" s="25" t="str">
        <f t="shared" si="0"/>
        <v/>
      </c>
      <c r="B15" s="27">
        <f t="shared" si="7"/>
        <v>1</v>
      </c>
      <c r="C15" s="28" t="str">
        <f t="shared" si="1"/>
        <v/>
      </c>
      <c r="D15" s="52"/>
      <c r="E15" s="57"/>
      <c r="F15" s="57"/>
      <c r="G15" s="57"/>
      <c r="H15" s="58"/>
      <c r="I15" s="39" t="str">
        <f t="shared" si="4"/>
        <v/>
      </c>
      <c r="J15" s="38" t="str">
        <f t="shared" si="5"/>
        <v/>
      </c>
      <c r="K15" s="53"/>
      <c r="L15" s="52"/>
      <c r="M15" s="24" t="b">
        <f t="shared" si="6"/>
        <v>0</v>
      </c>
      <c r="N15" s="26" t="s">
        <v>148</v>
      </c>
    </row>
    <row r="16" spans="1:14" s="26" customFormat="1" ht="12.75" hidden="1">
      <c r="A16" s="25" t="str">
        <f t="shared" si="0"/>
        <v/>
      </c>
      <c r="B16" s="27">
        <f t="shared" si="7"/>
        <v>1</v>
      </c>
      <c r="C16" s="28" t="str">
        <f t="shared" si="1"/>
        <v/>
      </c>
      <c r="D16" s="52"/>
      <c r="E16" s="57"/>
      <c r="F16" s="57"/>
      <c r="G16" s="57"/>
      <c r="H16" s="58"/>
      <c r="I16" s="39" t="str">
        <f t="shared" si="4"/>
        <v/>
      </c>
      <c r="J16" s="38" t="str">
        <f t="shared" si="5"/>
        <v/>
      </c>
      <c r="K16" s="53"/>
      <c r="L16" s="52"/>
      <c r="M16" s="24" t="b">
        <f t="shared" si="6"/>
        <v>0</v>
      </c>
      <c r="N16" s="26" t="s">
        <v>149</v>
      </c>
    </row>
    <row r="17" spans="1:14" s="26" customFormat="1" ht="12.75" hidden="1">
      <c r="A17" s="25" t="str">
        <f t="shared" si="0"/>
        <v/>
      </c>
      <c r="B17" s="27">
        <f t="shared" si="7"/>
        <v>1</v>
      </c>
      <c r="C17" s="28" t="str">
        <f t="shared" si="1"/>
        <v/>
      </c>
      <c r="D17" s="52"/>
      <c r="E17" s="57"/>
      <c r="F17" s="57"/>
      <c r="G17" s="57"/>
      <c r="H17" s="58"/>
      <c r="I17" s="39" t="str">
        <f t="shared" si="4"/>
        <v/>
      </c>
      <c r="J17" s="38" t="str">
        <f t="shared" si="5"/>
        <v/>
      </c>
      <c r="K17" s="53"/>
      <c r="L17" s="52"/>
      <c r="M17" s="24" t="b">
        <f t="shared" si="6"/>
        <v>0</v>
      </c>
      <c r="N17" s="26" t="s">
        <v>150</v>
      </c>
    </row>
    <row r="18" spans="1:14" s="26" customFormat="1" ht="12.75" hidden="1">
      <c r="A18" s="25" t="str">
        <f t="shared" si="0"/>
        <v/>
      </c>
      <c r="B18" s="27">
        <f t="shared" si="7"/>
        <v>1</v>
      </c>
      <c r="C18" s="28" t="str">
        <f t="shared" si="1"/>
        <v/>
      </c>
      <c r="D18" s="52"/>
      <c r="E18" s="57"/>
      <c r="F18" s="57"/>
      <c r="G18" s="57"/>
      <c r="H18" s="58"/>
      <c r="I18" s="39" t="str">
        <f t="shared" si="4"/>
        <v/>
      </c>
      <c r="J18" s="38" t="str">
        <f t="shared" si="5"/>
        <v/>
      </c>
      <c r="K18" s="53"/>
      <c r="L18" s="52"/>
      <c r="M18" s="24" t="b">
        <f t="shared" si="6"/>
        <v>0</v>
      </c>
      <c r="N18" s="26" t="s">
        <v>151</v>
      </c>
    </row>
    <row r="19" spans="1:14" s="26" customFormat="1" ht="12.75" hidden="1">
      <c r="A19" s="25" t="str">
        <f t="shared" si="0"/>
        <v/>
      </c>
      <c r="B19" s="27">
        <f t="shared" si="7"/>
        <v>1</v>
      </c>
      <c r="C19" s="28" t="str">
        <f t="shared" si="1"/>
        <v/>
      </c>
      <c r="D19" s="52"/>
      <c r="E19" s="57"/>
      <c r="F19" s="57"/>
      <c r="G19" s="57"/>
      <c r="H19" s="58"/>
      <c r="I19" s="39" t="str">
        <f t="shared" si="4"/>
        <v/>
      </c>
      <c r="J19" s="38" t="str">
        <f t="shared" si="5"/>
        <v/>
      </c>
      <c r="K19" s="53"/>
      <c r="L19" s="52"/>
      <c r="M19" s="24" t="b">
        <f t="shared" si="6"/>
        <v>0</v>
      </c>
      <c r="N19" s="26" t="s">
        <v>152</v>
      </c>
    </row>
    <row r="20" spans="1:14" s="26" customFormat="1" ht="12.75" hidden="1">
      <c r="A20" s="25" t="str">
        <f t="shared" si="0"/>
        <v/>
      </c>
      <c r="B20" s="27">
        <f t="shared" si="7"/>
        <v>1</v>
      </c>
      <c r="C20" s="28" t="str">
        <f t="shared" si="1"/>
        <v/>
      </c>
      <c r="D20" s="52"/>
      <c r="E20" s="57"/>
      <c r="F20" s="57"/>
      <c r="G20" s="57"/>
      <c r="H20" s="58"/>
      <c r="I20" s="39" t="str">
        <f t="shared" si="4"/>
        <v/>
      </c>
      <c r="J20" s="38" t="str">
        <f t="shared" si="5"/>
        <v/>
      </c>
      <c r="K20" s="53"/>
      <c r="L20" s="52"/>
      <c r="M20" s="24" t="b">
        <f t="shared" si="6"/>
        <v>0</v>
      </c>
      <c r="N20" s="26" t="s">
        <v>153</v>
      </c>
    </row>
    <row r="21" spans="1:14" s="26" customFormat="1" ht="12.75" hidden="1">
      <c r="A21" s="25" t="str">
        <f t="shared" si="0"/>
        <v/>
      </c>
      <c r="B21" s="27">
        <f t="shared" si="7"/>
        <v>1</v>
      </c>
      <c r="C21" s="28" t="str">
        <f t="shared" si="1"/>
        <v/>
      </c>
      <c r="D21" s="52"/>
      <c r="E21" s="57"/>
      <c r="F21" s="57"/>
      <c r="G21" s="57"/>
      <c r="H21" s="58"/>
      <c r="I21" s="39" t="str">
        <f t="shared" si="4"/>
        <v/>
      </c>
      <c r="J21" s="38" t="str">
        <f t="shared" si="5"/>
        <v/>
      </c>
      <c r="K21" s="53"/>
      <c r="L21" s="52"/>
      <c r="M21" s="24" t="b">
        <f t="shared" si="6"/>
        <v>0</v>
      </c>
      <c r="N21" s="26" t="s">
        <v>154</v>
      </c>
    </row>
    <row r="22" spans="1:14" s="26" customFormat="1" ht="12.75" hidden="1">
      <c r="A22" s="25" t="str">
        <f t="shared" si="0"/>
        <v/>
      </c>
      <c r="B22" s="27">
        <f t="shared" si="7"/>
        <v>1</v>
      </c>
      <c r="C22" s="28" t="str">
        <f t="shared" si="1"/>
        <v/>
      </c>
      <c r="D22" s="52"/>
      <c r="E22" s="57"/>
      <c r="F22" s="57"/>
      <c r="G22" s="57"/>
      <c r="H22" s="58"/>
      <c r="I22" s="39" t="str">
        <f t="shared" si="4"/>
        <v/>
      </c>
      <c r="J22" s="38" t="str">
        <f t="shared" si="5"/>
        <v/>
      </c>
      <c r="K22" s="53"/>
      <c r="L22" s="52"/>
      <c r="M22" s="24" t="b">
        <f t="shared" si="6"/>
        <v>0</v>
      </c>
      <c r="N22" s="26" t="s">
        <v>155</v>
      </c>
    </row>
    <row r="23" spans="1:14" s="26" customFormat="1" ht="12.75" hidden="1">
      <c r="A23" s="25" t="str">
        <f t="shared" si="0"/>
        <v/>
      </c>
      <c r="B23" s="27">
        <f t="shared" si="7"/>
        <v>1</v>
      </c>
      <c r="C23" s="28" t="str">
        <f t="shared" si="1"/>
        <v/>
      </c>
      <c r="D23" s="52"/>
      <c r="E23" s="57"/>
      <c r="F23" s="57"/>
      <c r="G23" s="57"/>
      <c r="H23" s="58"/>
      <c r="I23" s="39" t="str">
        <f t="shared" si="4"/>
        <v/>
      </c>
      <c r="J23" s="38" t="str">
        <f t="shared" si="5"/>
        <v/>
      </c>
      <c r="K23" s="53"/>
      <c r="L23" s="52"/>
      <c r="M23" s="24" t="b">
        <f t="shared" si="6"/>
        <v>0</v>
      </c>
      <c r="N23" s="26" t="s">
        <v>156</v>
      </c>
    </row>
    <row r="24" spans="1:14" s="26" customFormat="1" ht="12.75" hidden="1">
      <c r="A24" s="25" t="str">
        <f t="shared" si="0"/>
        <v/>
      </c>
      <c r="B24" s="27">
        <f t="shared" si="7"/>
        <v>1</v>
      </c>
      <c r="C24" s="28" t="str">
        <f t="shared" si="1"/>
        <v/>
      </c>
      <c r="D24" s="52"/>
      <c r="E24" s="57"/>
      <c r="F24" s="57"/>
      <c r="G24" s="57"/>
      <c r="H24" s="58"/>
      <c r="I24" s="39" t="str">
        <f t="shared" si="4"/>
        <v/>
      </c>
      <c r="J24" s="38" t="str">
        <f t="shared" si="5"/>
        <v/>
      </c>
      <c r="K24" s="53"/>
      <c r="L24" s="52"/>
      <c r="M24" s="24" t="b">
        <f t="shared" si="6"/>
        <v>0</v>
      </c>
      <c r="N24" s="26" t="s">
        <v>157</v>
      </c>
    </row>
    <row r="25" spans="1:14" s="26" customFormat="1" ht="12.75" hidden="1">
      <c r="A25" s="25" t="str">
        <f t="shared" si="0"/>
        <v/>
      </c>
      <c r="B25" s="27">
        <f t="shared" si="7"/>
        <v>1</v>
      </c>
      <c r="C25" s="28" t="str">
        <f t="shared" si="1"/>
        <v/>
      </c>
      <c r="D25" s="52"/>
      <c r="E25" s="57"/>
      <c r="F25" s="57"/>
      <c r="G25" s="57"/>
      <c r="H25" s="58"/>
      <c r="I25" s="39" t="str">
        <f t="shared" si="4"/>
        <v/>
      </c>
      <c r="J25" s="38" t="str">
        <f t="shared" si="5"/>
        <v/>
      </c>
      <c r="K25" s="53"/>
      <c r="L25" s="52"/>
      <c r="M25" s="24" t="b">
        <f t="shared" si="6"/>
        <v>0</v>
      </c>
      <c r="N25" s="26" t="s">
        <v>158</v>
      </c>
    </row>
    <row r="26" spans="1:14" s="26" customFormat="1" ht="12.75" hidden="1">
      <c r="A26" s="25" t="str">
        <f t="shared" si="0"/>
        <v/>
      </c>
      <c r="B26" s="27">
        <f t="shared" si="7"/>
        <v>1</v>
      </c>
      <c r="C26" s="28" t="str">
        <f t="shared" si="1"/>
        <v/>
      </c>
      <c r="D26" s="52"/>
      <c r="E26" s="57"/>
      <c r="F26" s="57"/>
      <c r="G26" s="57"/>
      <c r="H26" s="58"/>
      <c r="I26" s="39" t="str">
        <f t="shared" si="4"/>
        <v/>
      </c>
      <c r="J26" s="38" t="str">
        <f t="shared" si="5"/>
        <v/>
      </c>
      <c r="K26" s="53"/>
      <c r="L26" s="52"/>
      <c r="M26" s="24" t="b">
        <f t="shared" si="6"/>
        <v>0</v>
      </c>
      <c r="N26" s="26" t="s">
        <v>159</v>
      </c>
    </row>
    <row r="27" spans="1:14" s="26" customFormat="1" ht="12.75" hidden="1">
      <c r="A27" s="25" t="str">
        <f t="shared" si="0"/>
        <v/>
      </c>
      <c r="B27" s="27">
        <f t="shared" si="7"/>
        <v>1</v>
      </c>
      <c r="C27" s="28" t="str">
        <f t="shared" si="1"/>
        <v/>
      </c>
      <c r="D27" s="52"/>
      <c r="E27" s="57"/>
      <c r="F27" s="57"/>
      <c r="G27" s="57"/>
      <c r="H27" s="59"/>
      <c r="I27" s="39" t="str">
        <f t="shared" si="4"/>
        <v/>
      </c>
      <c r="J27" s="38" t="str">
        <f t="shared" si="5"/>
        <v/>
      </c>
      <c r="K27" s="53"/>
      <c r="L27" s="52"/>
      <c r="M27" s="24" t="b">
        <f t="shared" si="6"/>
        <v>0</v>
      </c>
      <c r="N27" s="26" t="s">
        <v>160</v>
      </c>
    </row>
    <row r="28" spans="1:14" s="26" customFormat="1" ht="12.75" hidden="1">
      <c r="A28" s="25" t="str">
        <f t="shared" si="0"/>
        <v/>
      </c>
      <c r="B28" s="27">
        <f t="shared" si="7"/>
        <v>1</v>
      </c>
      <c r="C28" s="28" t="str">
        <f t="shared" si="1"/>
        <v/>
      </c>
      <c r="D28" s="52"/>
      <c r="E28" s="57"/>
      <c r="F28" s="57"/>
      <c r="G28" s="57"/>
      <c r="H28" s="59"/>
      <c r="I28" s="39" t="str">
        <f t="shared" si="4"/>
        <v/>
      </c>
      <c r="J28" s="38" t="str">
        <f t="shared" si="5"/>
        <v/>
      </c>
      <c r="K28" s="53"/>
      <c r="L28" s="52"/>
      <c r="M28" s="24" t="b">
        <f t="shared" si="6"/>
        <v>0</v>
      </c>
      <c r="N28" s="26" t="s">
        <v>161</v>
      </c>
    </row>
    <row r="29" spans="1:14" s="26" customFormat="1" ht="12.75" hidden="1">
      <c r="A29" s="25" t="str">
        <f t="shared" si="0"/>
        <v/>
      </c>
      <c r="B29" s="27">
        <f t="shared" si="7"/>
        <v>1</v>
      </c>
      <c r="C29" s="28" t="str">
        <f t="shared" si="1"/>
        <v/>
      </c>
      <c r="D29" s="52"/>
      <c r="E29" s="57"/>
      <c r="F29" s="57"/>
      <c r="G29" s="57"/>
      <c r="H29" s="59"/>
      <c r="I29" s="39" t="str">
        <f t="shared" si="4"/>
        <v/>
      </c>
      <c r="J29" s="38" t="str">
        <f t="shared" si="5"/>
        <v/>
      </c>
      <c r="K29" s="53"/>
      <c r="L29" s="52"/>
      <c r="M29" s="24" t="b">
        <f t="shared" si="6"/>
        <v>0</v>
      </c>
      <c r="N29" s="26" t="s">
        <v>214</v>
      </c>
    </row>
    <row r="30" spans="1:14" s="26" customFormat="1" ht="12.75" hidden="1">
      <c r="A30" s="25" t="str">
        <f t="shared" si="0"/>
        <v/>
      </c>
      <c r="B30" s="27">
        <f t="shared" si="7"/>
        <v>1</v>
      </c>
      <c r="C30" s="28" t="str">
        <f t="shared" si="1"/>
        <v/>
      </c>
      <c r="D30" s="52"/>
      <c r="E30" s="57"/>
      <c r="F30" s="57"/>
      <c r="G30" s="57"/>
      <c r="H30" s="59"/>
      <c r="I30" s="39" t="str">
        <f t="shared" si="4"/>
        <v/>
      </c>
      <c r="J30" s="38" t="str">
        <f t="shared" si="5"/>
        <v/>
      </c>
      <c r="K30" s="53"/>
      <c r="L30" s="52"/>
      <c r="M30" s="24" t="b">
        <f t="shared" si="6"/>
        <v>0</v>
      </c>
      <c r="N30" s="26" t="s">
        <v>215</v>
      </c>
    </row>
    <row r="31" spans="1:14" s="26" customFormat="1" ht="12.75" hidden="1">
      <c r="A31" s="25" t="str">
        <f t="shared" si="0"/>
        <v/>
      </c>
      <c r="B31" s="27">
        <f t="shared" si="7"/>
        <v>1</v>
      </c>
      <c r="C31" s="28" t="str">
        <f t="shared" si="1"/>
        <v/>
      </c>
      <c r="D31" s="52"/>
      <c r="E31" s="57"/>
      <c r="F31" s="57"/>
      <c r="G31" s="57"/>
      <c r="H31" s="59"/>
      <c r="I31" s="39" t="str">
        <f t="shared" si="4"/>
        <v/>
      </c>
      <c r="J31" s="38" t="str">
        <f t="shared" si="5"/>
        <v/>
      </c>
      <c r="K31" s="53"/>
      <c r="L31" s="52"/>
      <c r="M31" s="24" t="b">
        <f t="shared" si="6"/>
        <v>0</v>
      </c>
      <c r="N31" s="26" t="s">
        <v>216</v>
      </c>
    </row>
    <row r="32" spans="1:14" s="26" customFormat="1" ht="12.75" hidden="1">
      <c r="A32" s="25" t="str">
        <f t="shared" si="0"/>
        <v/>
      </c>
      <c r="B32" s="27">
        <f t="shared" si="7"/>
        <v>1</v>
      </c>
      <c r="C32" s="28" t="str">
        <f t="shared" si="1"/>
        <v/>
      </c>
      <c r="D32" s="52"/>
      <c r="E32" s="57"/>
      <c r="F32" s="57"/>
      <c r="G32" s="57"/>
      <c r="H32" s="59"/>
      <c r="I32" s="39" t="str">
        <f t="shared" si="4"/>
        <v/>
      </c>
      <c r="J32" s="38" t="str">
        <f t="shared" si="5"/>
        <v/>
      </c>
      <c r="K32" s="53"/>
      <c r="L32" s="52"/>
      <c r="M32" s="24" t="b">
        <f t="shared" si="6"/>
        <v>0</v>
      </c>
      <c r="N32" s="26" t="s">
        <v>162</v>
      </c>
    </row>
    <row r="33" spans="1:14" s="26" customFormat="1" ht="12.75" hidden="1">
      <c r="A33" s="25" t="str">
        <f t="shared" si="0"/>
        <v/>
      </c>
      <c r="B33" s="27">
        <f t="shared" si="7"/>
        <v>1</v>
      </c>
      <c r="C33" s="28" t="str">
        <f t="shared" si="1"/>
        <v/>
      </c>
      <c r="D33" s="52"/>
      <c r="E33" s="57"/>
      <c r="F33" s="57"/>
      <c r="G33" s="57"/>
      <c r="H33" s="59"/>
      <c r="I33" s="39" t="str">
        <f t="shared" si="4"/>
        <v/>
      </c>
      <c r="J33" s="38" t="str">
        <f t="shared" si="5"/>
        <v/>
      </c>
      <c r="K33" s="53"/>
      <c r="L33" s="52"/>
      <c r="M33" s="24" t="b">
        <f t="shared" si="6"/>
        <v>0</v>
      </c>
      <c r="N33" s="26" t="s">
        <v>163</v>
      </c>
    </row>
    <row r="34" spans="1:14" s="26" customFormat="1" ht="12.75" hidden="1">
      <c r="A34" s="25" t="str">
        <f t="shared" si="0"/>
        <v/>
      </c>
      <c r="B34" s="27">
        <f t="shared" si="7"/>
        <v>1</v>
      </c>
      <c r="C34" s="28" t="str">
        <f t="shared" si="1"/>
        <v/>
      </c>
      <c r="D34" s="52"/>
      <c r="E34" s="57"/>
      <c r="F34" s="57"/>
      <c r="G34" s="57"/>
      <c r="H34" s="59"/>
      <c r="I34" s="39" t="str">
        <f t="shared" si="4"/>
        <v/>
      </c>
      <c r="J34" s="38" t="str">
        <f t="shared" si="5"/>
        <v/>
      </c>
      <c r="K34" s="52"/>
      <c r="L34" s="52"/>
      <c r="M34" s="24" t="b">
        <f t="shared" si="6"/>
        <v>0</v>
      </c>
      <c r="N34" s="26" t="s">
        <v>164</v>
      </c>
    </row>
    <row r="35" spans="1:14" s="26" customFormat="1" ht="12.75" hidden="1">
      <c r="A35" s="25" t="str">
        <f t="shared" si="0"/>
        <v/>
      </c>
      <c r="B35" s="27">
        <f t="shared" si="7"/>
        <v>1</v>
      </c>
      <c r="C35" s="28" t="str">
        <f t="shared" si="1"/>
        <v/>
      </c>
      <c r="D35" s="52"/>
      <c r="E35" s="57"/>
      <c r="F35" s="57"/>
      <c r="G35" s="57"/>
      <c r="H35" s="59"/>
      <c r="I35" s="39" t="str">
        <f t="shared" si="4"/>
        <v/>
      </c>
      <c r="J35" s="38" t="str">
        <f t="shared" si="5"/>
        <v/>
      </c>
      <c r="K35" s="53"/>
      <c r="L35" s="52"/>
      <c r="M35" s="24" t="b">
        <f t="shared" si="6"/>
        <v>0</v>
      </c>
      <c r="N35" s="26" t="s">
        <v>165</v>
      </c>
    </row>
    <row r="36" spans="1:14" s="26" customFormat="1" ht="12.75" hidden="1">
      <c r="A36" s="25" t="str">
        <f t="shared" si="0"/>
        <v/>
      </c>
      <c r="B36" s="27">
        <f t="shared" si="7"/>
        <v>1</v>
      </c>
      <c r="C36" s="28" t="str">
        <f t="shared" si="1"/>
        <v/>
      </c>
      <c r="D36" s="52"/>
      <c r="E36" s="57"/>
      <c r="F36" s="57"/>
      <c r="G36" s="57"/>
      <c r="H36" s="59"/>
      <c r="I36" s="39" t="str">
        <f t="shared" si="4"/>
        <v/>
      </c>
      <c r="J36" s="38" t="str">
        <f t="shared" si="5"/>
        <v/>
      </c>
      <c r="K36" s="53"/>
      <c r="L36" s="52"/>
      <c r="M36" s="24" t="b">
        <f t="shared" si="6"/>
        <v>0</v>
      </c>
      <c r="N36" s="26" t="s">
        <v>166</v>
      </c>
    </row>
    <row r="37" spans="1:14" s="26" customFormat="1" ht="12.75" hidden="1">
      <c r="A37" s="25" t="str">
        <f t="shared" si="0"/>
        <v/>
      </c>
      <c r="B37" s="27">
        <f t="shared" si="7"/>
        <v>1</v>
      </c>
      <c r="C37" s="28" t="str">
        <f t="shared" si="1"/>
        <v/>
      </c>
      <c r="D37" s="52"/>
      <c r="E37" s="57"/>
      <c r="F37" s="57"/>
      <c r="G37" s="57"/>
      <c r="H37" s="59"/>
      <c r="I37" s="39" t="str">
        <f t="shared" si="4"/>
        <v/>
      </c>
      <c r="J37" s="38" t="str">
        <f t="shared" si="5"/>
        <v/>
      </c>
      <c r="K37" s="53"/>
      <c r="L37" s="52"/>
      <c r="M37" s="24" t="b">
        <f t="shared" si="6"/>
        <v>0</v>
      </c>
      <c r="N37" s="26" t="s">
        <v>167</v>
      </c>
    </row>
    <row r="38" spans="1:14" s="26" customFormat="1" ht="12.75" hidden="1">
      <c r="A38" s="25" t="str">
        <f t="shared" si="0"/>
        <v/>
      </c>
      <c r="B38" s="27">
        <f t="shared" si="7"/>
        <v>1</v>
      </c>
      <c r="C38" s="28" t="str">
        <f t="shared" si="1"/>
        <v/>
      </c>
      <c r="D38" s="52"/>
      <c r="E38" s="57"/>
      <c r="F38" s="57"/>
      <c r="G38" s="57"/>
      <c r="H38" s="59"/>
      <c r="I38" s="39" t="str">
        <f t="shared" si="4"/>
        <v/>
      </c>
      <c r="J38" s="38" t="str">
        <f t="shared" si="5"/>
        <v/>
      </c>
      <c r="K38" s="53"/>
      <c r="L38" s="52"/>
      <c r="M38" s="24" t="b">
        <f t="shared" si="6"/>
        <v>0</v>
      </c>
      <c r="N38" s="26" t="s">
        <v>168</v>
      </c>
    </row>
    <row r="39" spans="1:14" s="26" customFormat="1" ht="12.75" hidden="1">
      <c r="A39" s="25" t="str">
        <f t="shared" si="0"/>
        <v/>
      </c>
      <c r="B39" s="27">
        <f t="shared" si="7"/>
        <v>1</v>
      </c>
      <c r="C39" s="28" t="str">
        <f t="shared" si="1"/>
        <v/>
      </c>
      <c r="D39" s="52"/>
      <c r="E39" s="57"/>
      <c r="F39" s="57"/>
      <c r="G39" s="57"/>
      <c r="H39" s="59"/>
      <c r="I39" s="39" t="str">
        <f t="shared" si="4"/>
        <v/>
      </c>
      <c r="J39" s="38" t="str">
        <f t="shared" si="5"/>
        <v/>
      </c>
      <c r="K39" s="53"/>
      <c r="L39" s="52"/>
      <c r="M39" s="24" t="b">
        <f t="shared" si="6"/>
        <v>0</v>
      </c>
      <c r="N39" s="26" t="s">
        <v>169</v>
      </c>
    </row>
    <row r="40" spans="1:14" s="26" customFormat="1" ht="12.75" hidden="1">
      <c r="A40" s="25" t="str">
        <f t="shared" si="0"/>
        <v/>
      </c>
      <c r="B40" s="27">
        <f t="shared" si="7"/>
        <v>1</v>
      </c>
      <c r="C40" s="28" t="str">
        <f t="shared" si="1"/>
        <v/>
      </c>
      <c r="D40" s="52"/>
      <c r="E40" s="57"/>
      <c r="F40" s="57"/>
      <c r="G40" s="57"/>
      <c r="H40" s="59"/>
      <c r="I40" s="39" t="str">
        <f t="shared" si="4"/>
        <v/>
      </c>
      <c r="J40" s="38" t="str">
        <f t="shared" si="5"/>
        <v/>
      </c>
      <c r="K40" s="53"/>
      <c r="L40" s="52"/>
      <c r="M40" s="24" t="b">
        <f t="shared" si="6"/>
        <v>0</v>
      </c>
      <c r="N40" s="26" t="s">
        <v>170</v>
      </c>
    </row>
    <row r="41" spans="1:14" s="26" customFormat="1" ht="12.75" hidden="1">
      <c r="A41" s="25" t="str">
        <f t="shared" ref="A41:A75" si="8">IF(VLOOKUP(N41,R_Analyse,3,FALSE)="","","x")</f>
        <v/>
      </c>
      <c r="B41" s="27">
        <f t="shared" si="7"/>
        <v>1</v>
      </c>
      <c r="C41" s="28" t="str">
        <f t="shared" ref="C41:C75" si="9">IF(A41="x",VLOOKUP(N41,R_Analyse,6,FALSE),"")</f>
        <v/>
      </c>
      <c r="D41" s="52"/>
      <c r="E41" s="57"/>
      <c r="F41" s="57"/>
      <c r="G41" s="57"/>
      <c r="H41" s="59"/>
      <c r="I41" s="39" t="str">
        <f t="shared" si="4"/>
        <v/>
      </c>
      <c r="J41" s="38" t="str">
        <f t="shared" si="5"/>
        <v/>
      </c>
      <c r="K41" s="53"/>
      <c r="L41" s="52"/>
      <c r="M41" s="24" t="b">
        <f t="shared" si="6"/>
        <v>0</v>
      </c>
      <c r="N41" s="26" t="s">
        <v>171</v>
      </c>
    </row>
    <row r="42" spans="1:14" s="26" customFormat="1" ht="12.75" hidden="1">
      <c r="A42" s="25" t="str">
        <f t="shared" si="8"/>
        <v/>
      </c>
      <c r="B42" s="27">
        <f t="shared" si="7"/>
        <v>1</v>
      </c>
      <c r="C42" s="28" t="str">
        <f t="shared" si="9"/>
        <v/>
      </c>
      <c r="D42" s="52"/>
      <c r="E42" s="57"/>
      <c r="F42" s="57"/>
      <c r="G42" s="57"/>
      <c r="H42" s="59"/>
      <c r="I42" s="39" t="str">
        <f t="shared" si="4"/>
        <v/>
      </c>
      <c r="J42" s="38" t="str">
        <f t="shared" si="5"/>
        <v/>
      </c>
      <c r="K42" s="53"/>
      <c r="L42" s="52"/>
      <c r="M42" s="24" t="b">
        <f t="shared" si="6"/>
        <v>0</v>
      </c>
      <c r="N42" s="26" t="s">
        <v>172</v>
      </c>
    </row>
    <row r="43" spans="1:14" s="26" customFormat="1" ht="12.75" hidden="1">
      <c r="A43" s="25" t="str">
        <f t="shared" si="8"/>
        <v/>
      </c>
      <c r="B43" s="27">
        <f t="shared" si="7"/>
        <v>1</v>
      </c>
      <c r="C43" s="28" t="str">
        <f t="shared" si="9"/>
        <v/>
      </c>
      <c r="D43" s="52"/>
      <c r="E43" s="57"/>
      <c r="F43" s="57"/>
      <c r="G43" s="57"/>
      <c r="H43" s="59"/>
      <c r="I43" s="39" t="str">
        <f t="shared" si="4"/>
        <v/>
      </c>
      <c r="J43" s="38" t="str">
        <f t="shared" si="5"/>
        <v/>
      </c>
      <c r="K43" s="53"/>
      <c r="L43" s="52"/>
      <c r="M43" s="24" t="b">
        <f t="shared" si="6"/>
        <v>0</v>
      </c>
      <c r="N43" s="26" t="s">
        <v>173</v>
      </c>
    </row>
    <row r="44" spans="1:14" s="26" customFormat="1" ht="12.75">
      <c r="A44" s="25" t="str">
        <f t="shared" si="8"/>
        <v>x</v>
      </c>
      <c r="B44" s="27">
        <f t="shared" si="7"/>
        <v>2</v>
      </c>
      <c r="C44" s="28" t="str">
        <f t="shared" si="9"/>
        <v>Widerstand von Nachbarn</v>
      </c>
      <c r="D44" s="91" t="s">
        <v>241</v>
      </c>
      <c r="E44" s="57">
        <v>0</v>
      </c>
      <c r="F44" s="57">
        <v>1</v>
      </c>
      <c r="G44" s="57">
        <v>1</v>
      </c>
      <c r="H44" s="59">
        <v>0.2</v>
      </c>
      <c r="I44" s="39">
        <f t="shared" si="4"/>
        <v>0.4</v>
      </c>
      <c r="J44" s="38" t="str">
        <f t="shared" si="5"/>
        <v>mittlere Priorität</v>
      </c>
      <c r="K44" s="53"/>
      <c r="L44" s="52"/>
      <c r="M44" s="24" t="b">
        <f t="shared" si="6"/>
        <v>1</v>
      </c>
      <c r="N44" s="26" t="s">
        <v>174</v>
      </c>
    </row>
    <row r="45" spans="1:14" s="26" customFormat="1" ht="12.75" hidden="1">
      <c r="A45" s="25" t="str">
        <f t="shared" si="8"/>
        <v/>
      </c>
      <c r="B45" s="27">
        <f t="shared" si="7"/>
        <v>2</v>
      </c>
      <c r="C45" s="28" t="str">
        <f t="shared" si="9"/>
        <v/>
      </c>
      <c r="D45" s="52"/>
      <c r="E45" s="57"/>
      <c r="F45" s="57"/>
      <c r="G45" s="57"/>
      <c r="H45" s="59"/>
      <c r="I45" s="39" t="str">
        <f t="shared" si="4"/>
        <v/>
      </c>
      <c r="J45" s="38" t="str">
        <f t="shared" si="5"/>
        <v/>
      </c>
      <c r="K45" s="53"/>
      <c r="L45" s="52"/>
      <c r="M45" s="24" t="b">
        <f t="shared" si="6"/>
        <v>0</v>
      </c>
      <c r="N45" s="26" t="s">
        <v>175</v>
      </c>
    </row>
    <row r="46" spans="1:14" s="26" customFormat="1" ht="12.75" hidden="1">
      <c r="A46" s="25" t="str">
        <f t="shared" si="8"/>
        <v/>
      </c>
      <c r="B46" s="27">
        <f t="shared" si="7"/>
        <v>2</v>
      </c>
      <c r="C46" s="28" t="str">
        <f t="shared" si="9"/>
        <v/>
      </c>
      <c r="D46" s="52"/>
      <c r="E46" s="57"/>
      <c r="F46" s="57"/>
      <c r="G46" s="57"/>
      <c r="H46" s="59"/>
      <c r="I46" s="39" t="str">
        <f t="shared" si="4"/>
        <v/>
      </c>
      <c r="J46" s="38" t="str">
        <f t="shared" si="5"/>
        <v/>
      </c>
      <c r="K46" s="53"/>
      <c r="L46" s="52"/>
      <c r="M46" s="24" t="b">
        <f t="shared" si="6"/>
        <v>0</v>
      </c>
      <c r="N46" s="26" t="s">
        <v>176</v>
      </c>
    </row>
    <row r="47" spans="1:14" s="26" customFormat="1" ht="12.75" hidden="1">
      <c r="A47" s="25" t="str">
        <f t="shared" si="8"/>
        <v/>
      </c>
      <c r="B47" s="27">
        <f t="shared" si="7"/>
        <v>2</v>
      </c>
      <c r="C47" s="28" t="str">
        <f t="shared" si="9"/>
        <v/>
      </c>
      <c r="D47" s="52"/>
      <c r="E47" s="57"/>
      <c r="F47" s="57"/>
      <c r="G47" s="57"/>
      <c r="H47" s="59"/>
      <c r="I47" s="39" t="str">
        <f t="shared" si="4"/>
        <v/>
      </c>
      <c r="J47" s="38" t="str">
        <f t="shared" si="5"/>
        <v/>
      </c>
      <c r="K47" s="53"/>
      <c r="L47" s="52"/>
      <c r="M47" s="24" t="b">
        <f t="shared" si="6"/>
        <v>0</v>
      </c>
      <c r="N47" s="26" t="s">
        <v>177</v>
      </c>
    </row>
    <row r="48" spans="1:14" s="26" customFormat="1" ht="12.75" hidden="1">
      <c r="A48" s="25" t="str">
        <f t="shared" si="8"/>
        <v/>
      </c>
      <c r="B48" s="27">
        <f t="shared" si="7"/>
        <v>2</v>
      </c>
      <c r="C48" s="28" t="str">
        <f t="shared" si="9"/>
        <v/>
      </c>
      <c r="D48" s="52"/>
      <c r="E48" s="57"/>
      <c r="F48" s="57"/>
      <c r="G48" s="57"/>
      <c r="H48" s="59"/>
      <c r="I48" s="39" t="str">
        <f t="shared" si="4"/>
        <v/>
      </c>
      <c r="J48" s="38" t="str">
        <f t="shared" si="5"/>
        <v/>
      </c>
      <c r="K48" s="53"/>
      <c r="L48" s="52"/>
      <c r="M48" s="24" t="b">
        <f t="shared" si="6"/>
        <v>0</v>
      </c>
      <c r="N48" s="26" t="s">
        <v>178</v>
      </c>
    </row>
    <row r="49" spans="1:14" s="26" customFormat="1" ht="12.75" hidden="1">
      <c r="A49" s="25" t="str">
        <f t="shared" si="8"/>
        <v/>
      </c>
      <c r="B49" s="27">
        <f t="shared" si="7"/>
        <v>2</v>
      </c>
      <c r="C49" s="28" t="str">
        <f t="shared" si="9"/>
        <v/>
      </c>
      <c r="D49" s="52"/>
      <c r="E49" s="57"/>
      <c r="F49" s="57"/>
      <c r="G49" s="57"/>
      <c r="H49" s="59"/>
      <c r="I49" s="39" t="str">
        <f t="shared" si="4"/>
        <v/>
      </c>
      <c r="J49" s="38" t="str">
        <f t="shared" si="5"/>
        <v/>
      </c>
      <c r="K49" s="53"/>
      <c r="L49" s="52"/>
      <c r="M49" s="24" t="b">
        <f t="shared" si="6"/>
        <v>0</v>
      </c>
      <c r="N49" s="26" t="s">
        <v>179</v>
      </c>
    </row>
    <row r="50" spans="1:14" s="26" customFormat="1" ht="12.75" hidden="1">
      <c r="A50" s="25" t="str">
        <f t="shared" si="8"/>
        <v/>
      </c>
      <c r="B50" s="27">
        <f t="shared" si="7"/>
        <v>2</v>
      </c>
      <c r="C50" s="28" t="str">
        <f t="shared" si="9"/>
        <v/>
      </c>
      <c r="D50" s="52"/>
      <c r="E50" s="57"/>
      <c r="F50" s="57"/>
      <c r="G50" s="57"/>
      <c r="H50" s="59"/>
      <c r="I50" s="39" t="str">
        <f t="shared" si="4"/>
        <v/>
      </c>
      <c r="J50" s="38" t="str">
        <f t="shared" si="5"/>
        <v/>
      </c>
      <c r="K50" s="53"/>
      <c r="L50" s="52"/>
      <c r="M50" s="24" t="b">
        <f t="shared" si="6"/>
        <v>0</v>
      </c>
      <c r="N50" s="26" t="s">
        <v>180</v>
      </c>
    </row>
    <row r="51" spans="1:14" s="26" customFormat="1" ht="12.75" hidden="1">
      <c r="A51" s="25" t="str">
        <f t="shared" si="8"/>
        <v/>
      </c>
      <c r="B51" s="27">
        <f t="shared" si="7"/>
        <v>2</v>
      </c>
      <c r="C51" s="28" t="str">
        <f t="shared" si="9"/>
        <v/>
      </c>
      <c r="D51" s="52"/>
      <c r="E51" s="57"/>
      <c r="F51" s="57"/>
      <c r="G51" s="57"/>
      <c r="H51" s="59"/>
      <c r="I51" s="39" t="str">
        <f t="shared" si="4"/>
        <v/>
      </c>
      <c r="J51" s="38" t="str">
        <f t="shared" si="5"/>
        <v/>
      </c>
      <c r="K51" s="53"/>
      <c r="L51" s="52"/>
      <c r="M51" s="24" t="b">
        <f t="shared" si="6"/>
        <v>0</v>
      </c>
      <c r="N51" s="26" t="s">
        <v>181</v>
      </c>
    </row>
    <row r="52" spans="1:14" s="26" customFormat="1" ht="12.75" hidden="1">
      <c r="A52" s="25" t="str">
        <f t="shared" si="8"/>
        <v/>
      </c>
      <c r="B52" s="27">
        <f t="shared" si="7"/>
        <v>2</v>
      </c>
      <c r="C52" s="28" t="str">
        <f t="shared" si="9"/>
        <v/>
      </c>
      <c r="D52" s="52"/>
      <c r="E52" s="57"/>
      <c r="F52" s="57"/>
      <c r="G52" s="57"/>
      <c r="H52" s="59"/>
      <c r="I52" s="39" t="str">
        <f t="shared" si="4"/>
        <v/>
      </c>
      <c r="J52" s="38" t="str">
        <f t="shared" si="5"/>
        <v/>
      </c>
      <c r="K52" s="53"/>
      <c r="L52" s="52"/>
      <c r="M52" s="24" t="b">
        <f t="shared" si="6"/>
        <v>0</v>
      </c>
      <c r="N52" s="26" t="s">
        <v>182</v>
      </c>
    </row>
    <row r="53" spans="1:14" s="26" customFormat="1" ht="12.75" hidden="1">
      <c r="A53" s="25" t="str">
        <f t="shared" si="8"/>
        <v/>
      </c>
      <c r="B53" s="27">
        <f t="shared" si="7"/>
        <v>2</v>
      </c>
      <c r="C53" s="28" t="str">
        <f t="shared" si="9"/>
        <v/>
      </c>
      <c r="D53" s="52"/>
      <c r="E53" s="57"/>
      <c r="F53" s="57"/>
      <c r="G53" s="57"/>
      <c r="H53" s="59"/>
      <c r="I53" s="39" t="str">
        <f t="shared" si="4"/>
        <v/>
      </c>
      <c r="J53" s="38" t="str">
        <f t="shared" si="5"/>
        <v/>
      </c>
      <c r="K53" s="53"/>
      <c r="L53" s="52"/>
      <c r="M53" s="24" t="b">
        <f t="shared" si="6"/>
        <v>0</v>
      </c>
      <c r="N53" s="26" t="s">
        <v>183</v>
      </c>
    </row>
    <row r="54" spans="1:14" s="26" customFormat="1" ht="12.75" hidden="1">
      <c r="A54" s="25" t="str">
        <f t="shared" si="8"/>
        <v/>
      </c>
      <c r="B54" s="27">
        <f t="shared" si="7"/>
        <v>2</v>
      </c>
      <c r="C54" s="28" t="str">
        <f t="shared" si="9"/>
        <v/>
      </c>
      <c r="D54" s="52"/>
      <c r="E54" s="57"/>
      <c r="F54" s="57"/>
      <c r="G54" s="57"/>
      <c r="H54" s="59"/>
      <c r="I54" s="39" t="str">
        <f t="shared" si="4"/>
        <v/>
      </c>
      <c r="J54" s="38" t="str">
        <f t="shared" si="5"/>
        <v/>
      </c>
      <c r="K54" s="53"/>
      <c r="L54" s="52"/>
      <c r="M54" s="24" t="b">
        <f t="shared" si="6"/>
        <v>0</v>
      </c>
      <c r="N54" s="26" t="s">
        <v>184</v>
      </c>
    </row>
    <row r="55" spans="1:14" s="26" customFormat="1" ht="12.75" hidden="1">
      <c r="A55" s="25" t="str">
        <f t="shared" si="8"/>
        <v/>
      </c>
      <c r="B55" s="27">
        <f t="shared" si="7"/>
        <v>2</v>
      </c>
      <c r="C55" s="28" t="str">
        <f t="shared" si="9"/>
        <v/>
      </c>
      <c r="D55" s="52"/>
      <c r="E55" s="57"/>
      <c r="F55" s="57"/>
      <c r="G55" s="57"/>
      <c r="H55" s="59"/>
      <c r="I55" s="39" t="str">
        <f t="shared" si="4"/>
        <v/>
      </c>
      <c r="J55" s="38" t="str">
        <f t="shared" si="5"/>
        <v/>
      </c>
      <c r="K55" s="53"/>
      <c r="L55" s="52"/>
      <c r="M55" s="24" t="b">
        <f t="shared" si="6"/>
        <v>0</v>
      </c>
      <c r="N55" s="26" t="s">
        <v>185</v>
      </c>
    </row>
    <row r="56" spans="1:14" s="26" customFormat="1" ht="12.75" hidden="1">
      <c r="A56" s="25" t="str">
        <f t="shared" si="8"/>
        <v/>
      </c>
      <c r="B56" s="27">
        <f t="shared" si="7"/>
        <v>2</v>
      </c>
      <c r="C56" s="28" t="str">
        <f t="shared" si="9"/>
        <v/>
      </c>
      <c r="D56" s="52"/>
      <c r="E56" s="57"/>
      <c r="F56" s="57"/>
      <c r="G56" s="57"/>
      <c r="H56" s="59"/>
      <c r="I56" s="39" t="str">
        <f t="shared" si="4"/>
        <v/>
      </c>
      <c r="J56" s="38" t="str">
        <f t="shared" si="5"/>
        <v/>
      </c>
      <c r="K56" s="53"/>
      <c r="L56" s="52"/>
      <c r="M56" s="24" t="b">
        <f t="shared" si="6"/>
        <v>0</v>
      </c>
      <c r="N56" s="26" t="s">
        <v>186</v>
      </c>
    </row>
    <row r="57" spans="1:14" s="26" customFormat="1" ht="12.75">
      <c r="A57" s="25" t="str">
        <f t="shared" si="8"/>
        <v>x</v>
      </c>
      <c r="B57" s="27">
        <f t="shared" si="7"/>
        <v>3</v>
      </c>
      <c r="C57" s="28" t="str">
        <f t="shared" si="9"/>
        <v>Kapazitätsengpässe</v>
      </c>
      <c r="D57" s="52"/>
      <c r="E57" s="57">
        <v>1</v>
      </c>
      <c r="F57" s="57">
        <v>1</v>
      </c>
      <c r="G57" s="57">
        <v>1</v>
      </c>
      <c r="H57" s="59">
        <v>0.2</v>
      </c>
      <c r="I57" s="39">
        <f t="shared" si="4"/>
        <v>0.60000000000000009</v>
      </c>
      <c r="J57" s="38" t="str">
        <f t="shared" si="5"/>
        <v>mittlere Priorität</v>
      </c>
      <c r="K57" s="53"/>
      <c r="L57" s="52"/>
      <c r="M57" s="24" t="b">
        <f t="shared" si="6"/>
        <v>1</v>
      </c>
      <c r="N57" s="26" t="s">
        <v>187</v>
      </c>
    </row>
    <row r="58" spans="1:14" s="26" customFormat="1" ht="12.75" hidden="1">
      <c r="A58" s="25" t="str">
        <f t="shared" si="8"/>
        <v/>
      </c>
      <c r="B58" s="27">
        <f t="shared" si="7"/>
        <v>3</v>
      </c>
      <c r="C58" s="28" t="str">
        <f t="shared" si="9"/>
        <v/>
      </c>
      <c r="D58" s="52"/>
      <c r="E58" s="57"/>
      <c r="F58" s="57"/>
      <c r="G58" s="57"/>
      <c r="H58" s="59"/>
      <c r="I58" s="39" t="str">
        <f t="shared" si="4"/>
        <v/>
      </c>
      <c r="J58" s="38" t="str">
        <f t="shared" si="5"/>
        <v/>
      </c>
      <c r="K58" s="53"/>
      <c r="L58" s="52"/>
      <c r="M58" s="24" t="b">
        <f t="shared" si="6"/>
        <v>0</v>
      </c>
      <c r="N58" s="26" t="s">
        <v>188</v>
      </c>
    </row>
    <row r="59" spans="1:14" s="26" customFormat="1" ht="12.75" hidden="1">
      <c r="A59" s="25" t="str">
        <f t="shared" si="8"/>
        <v/>
      </c>
      <c r="B59" s="27">
        <f t="shared" si="7"/>
        <v>3</v>
      </c>
      <c r="C59" s="28" t="str">
        <f t="shared" si="9"/>
        <v/>
      </c>
      <c r="D59" s="52"/>
      <c r="E59" s="57"/>
      <c r="F59" s="57"/>
      <c r="G59" s="57"/>
      <c r="H59" s="59"/>
      <c r="I59" s="39" t="str">
        <f t="shared" si="4"/>
        <v/>
      </c>
      <c r="J59" s="38" t="str">
        <f t="shared" si="5"/>
        <v/>
      </c>
      <c r="K59" s="53"/>
      <c r="L59" s="52"/>
      <c r="M59" s="24" t="b">
        <f t="shared" si="6"/>
        <v>0</v>
      </c>
      <c r="N59" s="26" t="s">
        <v>189</v>
      </c>
    </row>
    <row r="60" spans="1:14" s="26" customFormat="1" ht="12.75" hidden="1">
      <c r="A60" s="25" t="str">
        <f t="shared" si="8"/>
        <v/>
      </c>
      <c r="B60" s="27">
        <f t="shared" si="7"/>
        <v>3</v>
      </c>
      <c r="C60" s="28" t="str">
        <f t="shared" si="9"/>
        <v/>
      </c>
      <c r="D60" s="52"/>
      <c r="E60" s="57"/>
      <c r="F60" s="57"/>
      <c r="G60" s="57"/>
      <c r="H60" s="59"/>
      <c r="I60" s="39" t="str">
        <f t="shared" si="4"/>
        <v/>
      </c>
      <c r="J60" s="38" t="str">
        <f t="shared" si="5"/>
        <v/>
      </c>
      <c r="K60" s="53"/>
      <c r="L60" s="52"/>
      <c r="M60" s="24" t="b">
        <f t="shared" si="6"/>
        <v>0</v>
      </c>
      <c r="N60" s="26" t="s">
        <v>190</v>
      </c>
    </row>
    <row r="61" spans="1:14" s="26" customFormat="1" ht="12.75" hidden="1">
      <c r="A61" s="25" t="str">
        <f t="shared" si="8"/>
        <v/>
      </c>
      <c r="B61" s="27">
        <f t="shared" si="7"/>
        <v>3</v>
      </c>
      <c r="C61" s="28" t="str">
        <f t="shared" si="9"/>
        <v/>
      </c>
      <c r="D61" s="52"/>
      <c r="E61" s="57"/>
      <c r="F61" s="57"/>
      <c r="G61" s="57"/>
      <c r="H61" s="59"/>
      <c r="I61" s="39" t="str">
        <f t="shared" si="4"/>
        <v/>
      </c>
      <c r="J61" s="38" t="str">
        <f t="shared" si="5"/>
        <v/>
      </c>
      <c r="K61" s="53"/>
      <c r="L61" s="52"/>
      <c r="M61" s="24" t="b">
        <f t="shared" si="6"/>
        <v>0</v>
      </c>
      <c r="N61" s="26" t="s">
        <v>191</v>
      </c>
    </row>
    <row r="62" spans="1:14" s="26" customFormat="1" ht="12.75" hidden="1">
      <c r="A62" s="25" t="str">
        <f t="shared" si="8"/>
        <v/>
      </c>
      <c r="B62" s="27">
        <f t="shared" si="7"/>
        <v>3</v>
      </c>
      <c r="C62" s="28" t="str">
        <f t="shared" si="9"/>
        <v/>
      </c>
      <c r="D62" s="52"/>
      <c r="E62" s="57"/>
      <c r="F62" s="57"/>
      <c r="G62" s="57"/>
      <c r="H62" s="59"/>
      <c r="I62" s="39" t="str">
        <f t="shared" si="4"/>
        <v/>
      </c>
      <c r="J62" s="38" t="str">
        <f t="shared" si="5"/>
        <v/>
      </c>
      <c r="K62" s="53"/>
      <c r="L62" s="52"/>
      <c r="M62" s="24" t="b">
        <f t="shared" si="6"/>
        <v>0</v>
      </c>
      <c r="N62" s="26" t="s">
        <v>192</v>
      </c>
    </row>
    <row r="63" spans="1:14" s="26" customFormat="1" ht="12.75" hidden="1">
      <c r="A63" s="25" t="str">
        <f t="shared" si="8"/>
        <v/>
      </c>
      <c r="B63" s="27">
        <f t="shared" si="7"/>
        <v>3</v>
      </c>
      <c r="C63" s="28" t="str">
        <f t="shared" si="9"/>
        <v/>
      </c>
      <c r="D63" s="52"/>
      <c r="E63" s="57"/>
      <c r="F63" s="57"/>
      <c r="G63" s="57"/>
      <c r="H63" s="59"/>
      <c r="I63" s="39" t="str">
        <f t="shared" si="4"/>
        <v/>
      </c>
      <c r="J63" s="38" t="str">
        <f t="shared" si="5"/>
        <v/>
      </c>
      <c r="K63" s="53"/>
      <c r="L63" s="52"/>
      <c r="M63" s="24" t="b">
        <f t="shared" si="6"/>
        <v>0</v>
      </c>
      <c r="N63" s="26" t="s">
        <v>193</v>
      </c>
    </row>
    <row r="64" spans="1:14" s="26" customFormat="1" ht="12.75" hidden="1">
      <c r="A64" s="25" t="str">
        <f t="shared" si="8"/>
        <v/>
      </c>
      <c r="B64" s="27">
        <f t="shared" si="7"/>
        <v>3</v>
      </c>
      <c r="C64" s="28" t="str">
        <f t="shared" si="9"/>
        <v/>
      </c>
      <c r="D64" s="52"/>
      <c r="E64" s="57"/>
      <c r="F64" s="57"/>
      <c r="G64" s="57"/>
      <c r="H64" s="59"/>
      <c r="I64" s="39" t="str">
        <f t="shared" si="4"/>
        <v/>
      </c>
      <c r="J64" s="38" t="str">
        <f t="shared" si="5"/>
        <v/>
      </c>
      <c r="K64" s="53"/>
      <c r="L64" s="52"/>
      <c r="M64" s="24" t="b">
        <f t="shared" si="6"/>
        <v>0</v>
      </c>
      <c r="N64" s="26" t="s">
        <v>194</v>
      </c>
    </row>
    <row r="65" spans="1:14" s="26" customFormat="1" ht="12.75" hidden="1">
      <c r="A65" s="25" t="str">
        <f t="shared" si="8"/>
        <v/>
      </c>
      <c r="B65" s="27">
        <f t="shared" si="7"/>
        <v>3</v>
      </c>
      <c r="C65" s="28" t="str">
        <f t="shared" si="9"/>
        <v/>
      </c>
      <c r="D65" s="52"/>
      <c r="E65" s="57"/>
      <c r="F65" s="57"/>
      <c r="G65" s="57"/>
      <c r="H65" s="59"/>
      <c r="I65" s="39" t="str">
        <f t="shared" si="4"/>
        <v/>
      </c>
      <c r="J65" s="38" t="str">
        <f t="shared" si="5"/>
        <v/>
      </c>
      <c r="K65" s="53"/>
      <c r="L65" s="52"/>
      <c r="M65" s="24" t="b">
        <f t="shared" si="6"/>
        <v>0</v>
      </c>
      <c r="N65" s="26" t="s">
        <v>195</v>
      </c>
    </row>
    <row r="66" spans="1:14" s="26" customFormat="1" ht="12.75" hidden="1">
      <c r="A66" s="25" t="str">
        <f t="shared" si="8"/>
        <v/>
      </c>
      <c r="B66" s="27">
        <f t="shared" si="7"/>
        <v>3</v>
      </c>
      <c r="C66" s="28" t="str">
        <f t="shared" si="9"/>
        <v/>
      </c>
      <c r="D66" s="52"/>
      <c r="E66" s="57"/>
      <c r="F66" s="57"/>
      <c r="G66" s="57"/>
      <c r="H66" s="59"/>
      <c r="I66" s="39" t="str">
        <f t="shared" si="4"/>
        <v/>
      </c>
      <c r="J66" s="38" t="str">
        <f t="shared" si="5"/>
        <v/>
      </c>
      <c r="K66" s="53"/>
      <c r="L66" s="52"/>
      <c r="M66" s="24" t="b">
        <f t="shared" si="6"/>
        <v>0</v>
      </c>
      <c r="N66" s="26" t="s">
        <v>196</v>
      </c>
    </row>
    <row r="67" spans="1:14" s="26" customFormat="1" ht="12.75" hidden="1">
      <c r="A67" s="25" t="str">
        <f t="shared" si="8"/>
        <v/>
      </c>
      <c r="B67" s="27">
        <f t="shared" si="7"/>
        <v>3</v>
      </c>
      <c r="C67" s="28" t="str">
        <f t="shared" si="9"/>
        <v/>
      </c>
      <c r="D67" s="52"/>
      <c r="E67" s="57"/>
      <c r="F67" s="57"/>
      <c r="G67" s="57"/>
      <c r="H67" s="59"/>
      <c r="I67" s="39" t="str">
        <f t="shared" si="4"/>
        <v/>
      </c>
      <c r="J67" s="38" t="str">
        <f t="shared" si="5"/>
        <v/>
      </c>
      <c r="K67" s="53"/>
      <c r="L67" s="52"/>
      <c r="M67" s="24" t="b">
        <f t="shared" si="6"/>
        <v>0</v>
      </c>
      <c r="N67" s="26" t="s">
        <v>197</v>
      </c>
    </row>
    <row r="68" spans="1:14" s="26" customFormat="1" ht="12.75" hidden="1">
      <c r="A68" s="25" t="str">
        <f t="shared" si="8"/>
        <v/>
      </c>
      <c r="B68" s="27">
        <f t="shared" si="7"/>
        <v>3</v>
      </c>
      <c r="C68" s="28" t="str">
        <f t="shared" si="9"/>
        <v/>
      </c>
      <c r="D68" s="52"/>
      <c r="E68" s="57"/>
      <c r="F68" s="57"/>
      <c r="G68" s="57"/>
      <c r="H68" s="59"/>
      <c r="I68" s="39" t="str">
        <f t="shared" si="4"/>
        <v/>
      </c>
      <c r="J68" s="38" t="str">
        <f t="shared" si="5"/>
        <v/>
      </c>
      <c r="K68" s="53"/>
      <c r="L68" s="52"/>
      <c r="M68" s="24" t="b">
        <f t="shared" si="6"/>
        <v>0</v>
      </c>
      <c r="N68" s="26" t="s">
        <v>198</v>
      </c>
    </row>
    <row r="69" spans="1:14" s="26" customFormat="1" ht="12.75" hidden="1">
      <c r="A69" s="25" t="str">
        <f t="shared" si="8"/>
        <v/>
      </c>
      <c r="B69" s="27">
        <f t="shared" si="7"/>
        <v>3</v>
      </c>
      <c r="C69" s="28" t="str">
        <f t="shared" si="9"/>
        <v/>
      </c>
      <c r="D69" s="52"/>
      <c r="E69" s="57"/>
      <c r="F69" s="57"/>
      <c r="G69" s="57"/>
      <c r="H69" s="59"/>
      <c r="I69" s="39" t="str">
        <f t="shared" si="4"/>
        <v/>
      </c>
      <c r="J69" s="38" t="str">
        <f t="shared" si="5"/>
        <v/>
      </c>
      <c r="K69" s="53"/>
      <c r="L69" s="52"/>
      <c r="M69" s="24" t="b">
        <f t="shared" si="6"/>
        <v>0</v>
      </c>
      <c r="N69" s="26" t="s">
        <v>199</v>
      </c>
    </row>
    <row r="70" spans="1:14" s="26" customFormat="1" ht="12.75" hidden="1">
      <c r="A70" s="25" t="str">
        <f t="shared" si="8"/>
        <v/>
      </c>
      <c r="B70" s="27">
        <f t="shared" si="7"/>
        <v>3</v>
      </c>
      <c r="C70" s="28" t="str">
        <f t="shared" si="9"/>
        <v/>
      </c>
      <c r="D70" s="52"/>
      <c r="E70" s="57"/>
      <c r="F70" s="57"/>
      <c r="G70" s="57"/>
      <c r="H70" s="59"/>
      <c r="I70" s="39" t="str">
        <f t="shared" si="4"/>
        <v/>
      </c>
      <c r="J70" s="38" t="str">
        <f t="shared" si="5"/>
        <v/>
      </c>
      <c r="K70" s="53"/>
      <c r="L70" s="52"/>
      <c r="M70" s="24" t="b">
        <f t="shared" si="6"/>
        <v>0</v>
      </c>
      <c r="N70" s="26" t="s">
        <v>200</v>
      </c>
    </row>
    <row r="71" spans="1:14" s="26" customFormat="1" ht="12.75" hidden="1">
      <c r="A71" s="25" t="str">
        <f t="shared" si="8"/>
        <v/>
      </c>
      <c r="B71" s="27">
        <f t="shared" si="7"/>
        <v>3</v>
      </c>
      <c r="C71" s="28" t="str">
        <f t="shared" si="9"/>
        <v/>
      </c>
      <c r="D71" s="52"/>
      <c r="E71" s="57"/>
      <c r="F71" s="57"/>
      <c r="G71" s="57"/>
      <c r="H71" s="59"/>
      <c r="I71" s="39" t="str">
        <f t="shared" si="4"/>
        <v/>
      </c>
      <c r="J71" s="38" t="str">
        <f t="shared" si="5"/>
        <v/>
      </c>
      <c r="K71" s="53"/>
      <c r="L71" s="52"/>
      <c r="M71" s="24" t="b">
        <f t="shared" si="6"/>
        <v>0</v>
      </c>
      <c r="N71" s="7" t="s">
        <v>201</v>
      </c>
    </row>
    <row r="72" spans="1:14" s="26" customFormat="1" ht="12.75" hidden="1">
      <c r="A72" s="25" t="str">
        <f t="shared" si="8"/>
        <v/>
      </c>
      <c r="B72" s="27">
        <f t="shared" si="7"/>
        <v>3</v>
      </c>
      <c r="C72" s="28" t="str">
        <f t="shared" si="9"/>
        <v/>
      </c>
      <c r="D72" s="52"/>
      <c r="E72" s="57"/>
      <c r="F72" s="57"/>
      <c r="G72" s="57"/>
      <c r="H72" s="59"/>
      <c r="I72" s="39" t="str">
        <f t="shared" si="4"/>
        <v/>
      </c>
      <c r="J72" s="38" t="str">
        <f t="shared" si="5"/>
        <v/>
      </c>
      <c r="K72" s="53"/>
      <c r="L72" s="52"/>
      <c r="M72" s="24" t="b">
        <f t="shared" si="6"/>
        <v>0</v>
      </c>
      <c r="N72" s="21" t="s">
        <v>206</v>
      </c>
    </row>
    <row r="73" spans="1:14" s="26" customFormat="1" ht="12.75">
      <c r="A73" s="25" t="str">
        <f t="shared" si="8"/>
        <v>x</v>
      </c>
      <c r="B73" s="27">
        <f t="shared" si="7"/>
        <v>4</v>
      </c>
      <c r="C73" s="28" t="str">
        <f t="shared" si="9"/>
        <v>Besondere Anforderungen A+G</v>
      </c>
      <c r="D73" s="91" t="s">
        <v>239</v>
      </c>
      <c r="E73" s="57">
        <v>1</v>
      </c>
      <c r="F73" s="57">
        <v>1</v>
      </c>
      <c r="G73" s="57">
        <v>1</v>
      </c>
      <c r="H73" s="59">
        <v>0.6</v>
      </c>
      <c r="I73" s="39">
        <f t="shared" si="4"/>
        <v>1.7999999999999998</v>
      </c>
      <c r="J73" s="38" t="str">
        <f t="shared" si="5"/>
        <v>sehr hohe Priorität</v>
      </c>
      <c r="K73" s="53"/>
      <c r="L73" s="52"/>
      <c r="M73" s="24" t="b">
        <f t="shared" si="6"/>
        <v>1</v>
      </c>
      <c r="N73" s="21" t="s">
        <v>207</v>
      </c>
    </row>
    <row r="74" spans="1:14" s="26" customFormat="1" ht="12.75">
      <c r="A74" s="25" t="str">
        <f t="shared" si="8"/>
        <v>x</v>
      </c>
      <c r="B74" s="27">
        <f t="shared" si="7"/>
        <v>5</v>
      </c>
      <c r="C74" s="28" t="str">
        <f t="shared" si="9"/>
        <v>Spezielle Einweisungen notwendig</v>
      </c>
      <c r="D74" s="91" t="s">
        <v>239</v>
      </c>
      <c r="E74" s="57">
        <v>0</v>
      </c>
      <c r="F74" s="57">
        <v>1</v>
      </c>
      <c r="G74" s="57">
        <v>2</v>
      </c>
      <c r="H74" s="59">
        <v>0.2</v>
      </c>
      <c r="I74" s="39">
        <f t="shared" ref="I74:I75" si="10">IF(A74="","",SUM(E74:G74)*H74)</f>
        <v>0.60000000000000009</v>
      </c>
      <c r="J74" s="38" t="str">
        <f t="shared" ref="J74:J75" si="11">IF(A74="","",IF(I74&lt;0.4,"geringe Priorität",IF(I74&lt;0.8,"mittlere Priorität",IF(I74&lt;1,"hohe Priorität","sehr hohe Priorität"))))</f>
        <v>mittlere Priorität</v>
      </c>
      <c r="K74" s="53"/>
      <c r="L74" s="52"/>
      <c r="M74" s="24" t="b">
        <f t="shared" si="6"/>
        <v>1</v>
      </c>
      <c r="N74" s="21" t="s">
        <v>208</v>
      </c>
    </row>
    <row r="75" spans="1:14" s="26" customFormat="1" ht="12.75" hidden="1">
      <c r="A75" s="25" t="str">
        <f t="shared" si="8"/>
        <v/>
      </c>
      <c r="B75" s="27">
        <f t="shared" ref="B75" si="12">B74+(M75=TRUE)</f>
        <v>5</v>
      </c>
      <c r="C75" s="28" t="str">
        <f t="shared" si="9"/>
        <v/>
      </c>
      <c r="D75" s="52"/>
      <c r="E75" s="57"/>
      <c r="F75" s="57"/>
      <c r="G75" s="57"/>
      <c r="H75" s="59"/>
      <c r="I75" s="39" t="str">
        <f t="shared" si="10"/>
        <v/>
      </c>
      <c r="J75" s="38" t="str">
        <f t="shared" si="11"/>
        <v/>
      </c>
      <c r="K75" s="53"/>
      <c r="L75" s="52"/>
      <c r="M75" s="24" t="b">
        <f t="shared" si="6"/>
        <v>0</v>
      </c>
      <c r="N75" s="2" t="s">
        <v>209</v>
      </c>
    </row>
    <row r="76" spans="1:14" s="7" customFormat="1" ht="21.75" customHeight="1">
      <c r="A76" s="3"/>
      <c r="B76" s="31" t="s">
        <v>21</v>
      </c>
      <c r="C76" s="32"/>
      <c r="D76" s="32"/>
      <c r="E76" s="2"/>
      <c r="F76" s="3"/>
      <c r="G76" s="3"/>
      <c r="H76" s="3"/>
      <c r="I76" s="3"/>
      <c r="J76" s="3"/>
      <c r="K76" s="3"/>
      <c r="M76" s="5"/>
      <c r="N76" s="3"/>
    </row>
    <row r="77" spans="1:14" s="21" customFormat="1" ht="12.95" customHeight="1">
      <c r="A77" s="22"/>
      <c r="B77" s="90" t="s">
        <v>24</v>
      </c>
      <c r="C77" s="90" t="s">
        <v>236</v>
      </c>
      <c r="E77" s="2"/>
      <c r="F77" s="22"/>
      <c r="G77" s="22"/>
      <c r="H77" s="22"/>
      <c r="I77" s="37" t="s">
        <v>233</v>
      </c>
      <c r="J77" s="33" t="s">
        <v>9</v>
      </c>
      <c r="K77" s="22"/>
      <c r="M77" s="23"/>
      <c r="N77" s="22"/>
    </row>
    <row r="78" spans="1:14" s="21" customFormat="1" ht="12.95" customHeight="1">
      <c r="A78" s="22"/>
      <c r="B78" s="90" t="s">
        <v>25</v>
      </c>
      <c r="C78" s="90" t="s">
        <v>237</v>
      </c>
      <c r="E78" s="2"/>
      <c r="F78" s="22"/>
      <c r="G78" s="22"/>
      <c r="H78" s="22"/>
      <c r="I78" s="37" t="s">
        <v>234</v>
      </c>
      <c r="J78" s="34" t="s">
        <v>10</v>
      </c>
      <c r="K78" s="22"/>
      <c r="M78" s="23"/>
      <c r="N78" s="22"/>
    </row>
    <row r="79" spans="1:14" s="21" customFormat="1" ht="12.95" customHeight="1">
      <c r="A79" s="22"/>
      <c r="B79" s="90" t="s">
        <v>26</v>
      </c>
      <c r="C79" s="90" t="s">
        <v>238</v>
      </c>
      <c r="E79" s="2"/>
      <c r="F79" s="22"/>
      <c r="G79" s="22"/>
      <c r="H79" s="22"/>
      <c r="I79" s="37" t="s">
        <v>235</v>
      </c>
      <c r="J79" s="35" t="s">
        <v>11</v>
      </c>
      <c r="K79" s="22"/>
      <c r="M79" s="23"/>
      <c r="N79" s="22"/>
    </row>
    <row r="80" spans="1:14" s="21" customFormat="1" ht="12.95" customHeight="1">
      <c r="A80" s="22"/>
      <c r="B80" s="90" t="s">
        <v>229</v>
      </c>
      <c r="C80" s="90" t="s">
        <v>230</v>
      </c>
      <c r="E80" s="22"/>
      <c r="F80" s="22"/>
      <c r="G80" s="22"/>
      <c r="H80" s="22"/>
      <c r="I80" s="37" t="s">
        <v>12</v>
      </c>
      <c r="J80" s="36" t="s">
        <v>13</v>
      </c>
      <c r="K80" s="22"/>
      <c r="M80" s="23"/>
      <c r="N80" s="22"/>
    </row>
    <row r="81" spans="1:14" s="21" customFormat="1" ht="12.95" customHeight="1">
      <c r="A81" s="22"/>
      <c r="B81" s="90" t="s">
        <v>231</v>
      </c>
      <c r="C81" s="90" t="s">
        <v>232</v>
      </c>
      <c r="E81" s="22"/>
      <c r="F81" s="22"/>
      <c r="G81" s="22"/>
      <c r="H81" s="22"/>
      <c r="I81" s="22"/>
      <c r="J81" s="22"/>
      <c r="K81" s="22"/>
      <c r="M81" s="23"/>
      <c r="N81" s="22"/>
    </row>
    <row r="84" spans="1:14">
      <c r="B84" s="7" t="s">
        <v>14</v>
      </c>
    </row>
    <row r="85" spans="1:14">
      <c r="B85" s="7" t="s">
        <v>15</v>
      </c>
    </row>
    <row r="87" spans="1:14">
      <c r="B87" s="8" t="s">
        <v>16</v>
      </c>
      <c r="C87" s="9"/>
      <c r="D87" s="9"/>
      <c r="E87" s="10"/>
      <c r="F87" s="10"/>
      <c r="G87" s="10"/>
      <c r="H87" s="10"/>
      <c r="I87" s="10"/>
      <c r="J87" s="11"/>
      <c r="K87" s="6"/>
    </row>
    <row r="88" spans="1:14">
      <c r="B88" s="12" t="s">
        <v>17</v>
      </c>
      <c r="C88" s="13"/>
      <c r="D88" s="13"/>
      <c r="E88" s="14"/>
      <c r="F88" s="14"/>
      <c r="G88" s="14"/>
      <c r="H88" s="14"/>
      <c r="I88" s="14"/>
      <c r="J88" s="15"/>
      <c r="K88" s="6"/>
    </row>
    <row r="89" spans="1:14">
      <c r="B89" s="12" t="s">
        <v>18</v>
      </c>
      <c r="C89" s="13"/>
      <c r="D89" s="13"/>
      <c r="E89" s="14"/>
      <c r="F89" s="14"/>
      <c r="G89" s="14"/>
      <c r="H89" s="14"/>
      <c r="I89" s="14"/>
      <c r="J89" s="15"/>
      <c r="K89" s="6"/>
    </row>
    <row r="90" spans="1:14">
      <c r="B90" s="12" t="s">
        <v>19</v>
      </c>
      <c r="C90" s="13"/>
      <c r="D90" s="13"/>
      <c r="E90" s="14"/>
      <c r="F90" s="14"/>
      <c r="G90" s="14"/>
      <c r="H90" s="14"/>
      <c r="I90" s="14"/>
      <c r="J90" s="15"/>
      <c r="K90" s="6"/>
    </row>
    <row r="91" spans="1:14">
      <c r="B91" s="12" t="s">
        <v>20</v>
      </c>
      <c r="C91" s="13"/>
      <c r="D91" s="13"/>
      <c r="E91" s="14"/>
      <c r="F91" s="14"/>
      <c r="G91" s="14"/>
      <c r="H91" s="14"/>
      <c r="I91" s="14"/>
      <c r="J91" s="15"/>
      <c r="K91" s="6"/>
    </row>
    <row r="92" spans="1:14">
      <c r="B92" s="16" t="s">
        <v>228</v>
      </c>
      <c r="C92" s="17"/>
      <c r="D92" s="17"/>
      <c r="E92" s="18"/>
      <c r="F92" s="18"/>
      <c r="G92" s="18"/>
      <c r="H92" s="18"/>
      <c r="I92" s="18"/>
      <c r="J92" s="19"/>
      <c r="K92" s="6"/>
    </row>
  </sheetData>
  <sheetProtection sheet="1" objects="1" scenarios="1"/>
  <mergeCells count="1">
    <mergeCell ref="E7:G7"/>
  </mergeCells>
  <phoneticPr fontId="0" type="noConversion"/>
  <conditionalFormatting sqref="K9:K33 K35:K75">
    <cfRule type="cellIs" dxfId="5" priority="1" stopIfTrue="1" operator="equal">
      <formula>"sehr hohe Priorität"</formula>
    </cfRule>
    <cfRule type="cellIs" dxfId="4" priority="2" stopIfTrue="1" operator="equal">
      <formula>"mittlere Priorität"</formula>
    </cfRule>
    <cfRule type="cellIs" dxfId="3" priority="3" stopIfTrue="1" operator="equal">
      <formula>"hohe Priorität"</formula>
    </cfRule>
  </conditionalFormatting>
  <conditionalFormatting sqref="J9:J75">
    <cfRule type="cellIs" dxfId="2" priority="4" stopIfTrue="1" operator="equal">
      <formula>"sehr hohe Priorität"</formula>
    </cfRule>
    <cfRule type="cellIs" dxfId="1" priority="5" stopIfTrue="1" operator="equal">
      <formula>"mittlere Priorität"</formula>
    </cfRule>
    <cfRule type="cellIs" dxfId="0" priority="6" stopIfTrue="1" operator="equal">
      <formula>"hohe Priorität"</formula>
    </cfRule>
  </conditionalFormatting>
  <pageMargins left="0.39370078740157483" right="0.31496062992125984" top="0.23622047244094491" bottom="0.31496062992125984" header="0.23622047244094491" footer="0.15748031496062992"/>
  <pageSetup paperSize="8" scale="70" orientation="landscape" horizontalDpi="1200" verticalDpi="1200" r:id="rId1"/>
  <headerFooter scaleWithDoc="0">
    <oddHeader>&amp;R&amp;G</oddHeader>
    <oddFooter>&amp;R&amp;"Arial,Fett"&amp;9 311.025.QCL / V 7.0 / &amp;"Arial,Standard"&amp;8Gültig ab: 15.12.2016 / Seite &amp;P (&amp;N)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9" r:id="rId5" name="Button 9">
              <controlPr defaultSize="0" print="0" autoFill="0" autoPict="0" macro="[0]!Ausblenden">
                <anchor moveWithCells="1" sizeWithCells="1">
                  <from>
                    <xdr:col>3</xdr:col>
                    <xdr:colOff>1895475</xdr:colOff>
                    <xdr:row>3</xdr:row>
                    <xdr:rowOff>0</xdr:rowOff>
                  </from>
                  <to>
                    <xdr:col>3</xdr:col>
                    <xdr:colOff>3476625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4</vt:i4>
      </vt:variant>
    </vt:vector>
  </HeadingPairs>
  <TitlesOfParts>
    <vt:vector size="6" baseType="lpstr">
      <vt:lpstr>Risikoanalyse CL</vt:lpstr>
      <vt:lpstr>Risikobewertung</vt:lpstr>
      <vt:lpstr>'Risikoanalyse CL'!Druckbereich</vt:lpstr>
      <vt:lpstr>Risikobewertung!Druckbereich</vt:lpstr>
      <vt:lpstr>'Risikoanalyse CL'!Drucktitel</vt:lpstr>
      <vt:lpstr>R_Analyse</vt:lpstr>
    </vt:vector>
  </TitlesOfParts>
  <Company>Aegerter &amp; Bosshardt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Brunkhorst Marc</dc:creator>
  <cp:lastModifiedBy>Stöhr Jessica</cp:lastModifiedBy>
  <cp:lastPrinted>2016-12-15T08:27:26Z</cp:lastPrinted>
  <dcterms:created xsi:type="dcterms:W3CDTF">2006-06-13T07:07:28Z</dcterms:created>
  <dcterms:modified xsi:type="dcterms:W3CDTF">2018-07-11T11:15:06Z</dcterms:modified>
</cp:coreProperties>
</file>