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Default Extension="doc" ContentType="application/msword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DieseArbeitsmappe"/>
  <mc:AlternateContent xmlns:mc="http://schemas.openxmlformats.org/markup-compatibility/2006">
    <mc:Choice Requires="x15">
      <x15ac:absPath xmlns:x15ac="http://schemas.microsoft.com/office/spreadsheetml/2010/11/ac" url="I:\8005 F_&amp;_R\300 Fakturierung\RECHNUNGEN\2023\9800 - 9899\"/>
    </mc:Choice>
  </mc:AlternateContent>
  <bookViews>
    <workbookView xWindow="-15" yWindow="105" windowWidth="14295" windowHeight="7380" tabRatio="473"/>
  </bookViews>
  <sheets>
    <sheet name="INGE" sheetId="37" r:id="rId1"/>
    <sheet name="Grunddaten" sheetId="30" r:id="rId2"/>
    <sheet name=".200" sheetId="31" r:id="rId3"/>
    <sheet name=".500" sheetId="33" r:id="rId4"/>
    <sheet name=".910" sheetId="32" r:id="rId5"/>
    <sheet name="Teuerung" sheetId="38" r:id="rId6"/>
    <sheet name="Modul1" sheetId="2" state="veryHidden" r:id="rId7"/>
    <sheet name="Modul2" sheetId="3" state="veryHidden" r:id="rId8"/>
  </sheets>
  <externalReferences>
    <externalReference r:id="rId9"/>
    <externalReference r:id="rId10"/>
    <externalReference r:id="rId11"/>
    <externalReference r:id="rId12"/>
  </externalReferences>
  <definedNames>
    <definedName name="Abrechnungsart">[1]Dropdowns!$H$7:$H$11</definedName>
    <definedName name="Adressen">[1]Dropdowns!$G$4:$L$4</definedName>
    <definedName name="Crystal_2_1_WEBI_HHeading" localSheetId="5" hidden="1">#REF!</definedName>
    <definedName name="Crystal_2_1_WEBI_HHeading" hidden="1">#REF!</definedName>
    <definedName name="Crystal_3_1_WEBI_DataGrid" localSheetId="5" hidden="1">#REF!</definedName>
    <definedName name="Crystal_3_1_WEBI_DataGrid" hidden="1">#REF!</definedName>
    <definedName name="Crystal_3_1_WEBI_Table" localSheetId="5" hidden="1">#REF!</definedName>
    <definedName name="Crystal_3_1_WEBI_Table" hidden="1">#REF!</definedName>
    <definedName name="Crystal_4_1_WEBI_DataGrid" localSheetId="5" hidden="1">#REF!</definedName>
    <definedName name="Crystal_4_1_WEBI_DataGrid" hidden="1">#REF!</definedName>
    <definedName name="Crystal_4_1_WEBI_HHeading" localSheetId="5" hidden="1">#REF!</definedName>
    <definedName name="Crystal_4_1_WEBI_HHeading" hidden="1">#REF!</definedName>
    <definedName name="Crystal_4_1_WEBI_Table" localSheetId="5" hidden="1">#REF!</definedName>
    <definedName name="Crystal_4_1_WEBI_Table" hidden="1">#REF!</definedName>
    <definedName name="Crystal_6_1_WEBI_DataGrid" localSheetId="5" hidden="1">#REF!</definedName>
    <definedName name="Crystal_6_1_WEBI_DataGrid" hidden="1">#REF!</definedName>
    <definedName name="Crystal_6_1_WEBI_HHeading" localSheetId="5" hidden="1">#REF!</definedName>
    <definedName name="Crystal_6_1_WEBI_HHeading" hidden="1">#REF!</definedName>
    <definedName name="Crystal_6_1_WEBI_Table" localSheetId="5" hidden="1">#REF!</definedName>
    <definedName name="Crystal_6_1_WEBI_Table" hidden="1">#REF!</definedName>
    <definedName name="Crystal_7_1_WEBI_DataGrid" localSheetId="5" hidden="1">#REF!</definedName>
    <definedName name="Crystal_7_1_WEBI_DataGrid" hidden="1">#REF!</definedName>
    <definedName name="Crystal_7_1_WEBI_Table" localSheetId="5" hidden="1">#REF!</definedName>
    <definedName name="Crystal_7_1_WEBI_Table" hidden="1">#REF!</definedName>
    <definedName name="Crystal_8_1_WEBI_DataGrid" localSheetId="5" hidden="1">#REF!</definedName>
    <definedName name="Crystal_8_1_WEBI_DataGrid" hidden="1">#REF!</definedName>
    <definedName name="Crystal_8_1_WEBI_HHeading" localSheetId="5" hidden="1">#REF!</definedName>
    <definedName name="Crystal_8_1_WEBI_HHeading" hidden="1">#REF!</definedName>
    <definedName name="Crystal_8_1_WEBI_Table" localSheetId="5" hidden="1">#REF!</definedName>
    <definedName name="Crystal_8_1_WEBI_Table" hidden="1">#REF!</definedName>
    <definedName name="Crystal_9_1_WEBI_DataGrid" localSheetId="5" hidden="1">#REF!</definedName>
    <definedName name="Crystal_9_1_WEBI_DataGrid" hidden="1">#REF!</definedName>
    <definedName name="Crystal_9_1_WEBI_HHeading" localSheetId="5" hidden="1">#REF!</definedName>
    <definedName name="Crystal_9_1_WEBI_HHeading" hidden="1">#REF!</definedName>
    <definedName name="Crystal_9_1_WEBI_Table" localSheetId="5" hidden="1">#REF!</definedName>
    <definedName name="Crystal_9_1_WEBI_Table" hidden="1">#REF!</definedName>
    <definedName name="_xlnm.Print_Area" localSheetId="2">'.200'!$A$1:$G$44</definedName>
    <definedName name="_xlnm.Print_Area" localSheetId="3">'.500'!$A$1:$G$48</definedName>
    <definedName name="_xlnm.Print_Area" localSheetId="4">'.910'!$A$1:$G$42</definedName>
    <definedName name="_xlnm.Print_Area" localSheetId="1">Grunddaten!$A$1:$B$23</definedName>
    <definedName name="_xlnm.Print_Area" localSheetId="0">INGE!$A$1:$I$62</definedName>
    <definedName name="_xlnm.Print_Area" localSheetId="5">Teuerung!$A$1:$G$43</definedName>
    <definedName name="_xlnm.Print_Titles" localSheetId="2">'.200'!$1:$1</definedName>
    <definedName name="_xlnm.Print_Titles" localSheetId="3">'.500'!$1:$1</definedName>
    <definedName name="_xlnm.Print_Titles" localSheetId="4">'.910'!$1:$1</definedName>
    <definedName name="_xlnm.Print_Titles" localSheetId="5">Teuerung!$1:$1</definedName>
    <definedName name="Finanzierungskonto">[1]Dropdowns!$B$15:$B$21</definedName>
    <definedName name="Koa">[1]Dropdowns!$F$5:$F$113</definedName>
    <definedName name="Rechnungsart">[1]Dropdowns!$B$4:$B$12</definedName>
    <definedName name="Rechnungstypen" localSheetId="3">#REF!</definedName>
    <definedName name="Rechnungstypen" localSheetId="4">#REF!</definedName>
    <definedName name="Rechnungstypen" localSheetId="0">#REF!</definedName>
    <definedName name="Rechnungstypen">#REF!</definedName>
    <definedName name="Rng.art" localSheetId="5">#REF!</definedName>
    <definedName name="Rng.art">#REF!</definedName>
    <definedName name="Summe" localSheetId="5">#REF!,#REF!,#REF!</definedName>
    <definedName name="Summe">#REF!,#REF!,#REF!</definedName>
    <definedName name="Zahlungsfrist">[1]Dropdowns!$I$13:$I$18</definedName>
  </definedNames>
  <calcPr calcId="162913"/>
</workbook>
</file>

<file path=xl/calcChain.xml><?xml version="1.0" encoding="utf-8"?>
<calcChain xmlns="http://schemas.openxmlformats.org/spreadsheetml/2006/main">
  <c r="F29" i="38" l="1"/>
  <c r="F32" i="38" s="1"/>
  <c r="F36" i="38" s="1"/>
  <c r="G36" i="38" s="1"/>
  <c r="B20" i="38"/>
  <c r="F13" i="38"/>
  <c r="F12" i="38"/>
  <c r="F11" i="38"/>
  <c r="F10" i="38"/>
  <c r="E7" i="38"/>
  <c r="E6" i="38"/>
  <c r="A6" i="38"/>
  <c r="E5" i="38"/>
  <c r="A5" i="38"/>
  <c r="E4" i="38"/>
  <c r="A4" i="38"/>
  <c r="E3" i="38"/>
  <c r="A3" i="38"/>
  <c r="E2" i="38"/>
  <c r="A2" i="38"/>
  <c r="A42" i="38"/>
  <c r="A41" i="38"/>
  <c r="G37" i="38" l="1"/>
  <c r="G38" i="38" s="1"/>
  <c r="H42" i="37" l="1"/>
  <c r="H44" i="37" l="1"/>
  <c r="H48" i="37" s="1"/>
  <c r="I48" i="37" s="1"/>
  <c r="I49" i="37" s="1"/>
  <c r="I50" i="37" s="1"/>
  <c r="E27" i="33"/>
  <c r="F27" i="33" s="1"/>
  <c r="F28" i="33" s="1"/>
  <c r="F32" i="33"/>
  <c r="B20" i="33"/>
  <c r="F13" i="33"/>
  <c r="F12" i="33"/>
  <c r="F11" i="33"/>
  <c r="F10" i="33"/>
  <c r="E7" i="33"/>
  <c r="E6" i="33"/>
  <c r="A6" i="33"/>
  <c r="E5" i="33"/>
  <c r="A5" i="33"/>
  <c r="E4" i="33"/>
  <c r="A4" i="33"/>
  <c r="E3" i="33"/>
  <c r="A3" i="33"/>
  <c r="E2" i="33"/>
  <c r="A2" i="33"/>
  <c r="F34" i="33" l="1"/>
  <c r="G34" i="33" s="1"/>
  <c r="G35" i="33" s="1"/>
  <c r="G36" i="33" s="1"/>
  <c r="A2" i="31" l="1"/>
  <c r="F28" i="32"/>
  <c r="B20" i="32"/>
  <c r="F13" i="32"/>
  <c r="F12" i="32"/>
  <c r="F11" i="32"/>
  <c r="F10" i="32"/>
  <c r="E7" i="32"/>
  <c r="E6" i="32"/>
  <c r="A6" i="32"/>
  <c r="E5" i="32"/>
  <c r="A5" i="32"/>
  <c r="E4" i="32"/>
  <c r="A4" i="32"/>
  <c r="E3" i="32"/>
  <c r="A3" i="32"/>
  <c r="E2" i="32"/>
  <c r="A2" i="32"/>
  <c r="G28" i="32" l="1"/>
  <c r="G29" i="32" l="1"/>
  <c r="G30" i="32" s="1"/>
  <c r="E27" i="31"/>
  <c r="F27" i="31" s="1"/>
  <c r="F28" i="31" s="1"/>
  <c r="B20" i="31"/>
  <c r="F13" i="31"/>
  <c r="F12" i="31"/>
  <c r="F11" i="31"/>
  <c r="F10" i="31"/>
  <c r="E7" i="31"/>
  <c r="E6" i="31"/>
  <c r="A6" i="31"/>
  <c r="E5" i="31"/>
  <c r="A5" i="31"/>
  <c r="E4" i="31"/>
  <c r="A4" i="31"/>
  <c r="E3" i="31"/>
  <c r="A3" i="31"/>
  <c r="E2" i="31"/>
  <c r="F31" i="31" l="1"/>
  <c r="G31" i="31" s="1"/>
  <c r="G32" i="31" l="1"/>
  <c r="G33" i="31" s="1"/>
</calcChain>
</file>

<file path=xl/sharedStrings.xml><?xml version="1.0" encoding="utf-8"?>
<sst xmlns="http://schemas.openxmlformats.org/spreadsheetml/2006/main" count="159" uniqueCount="77">
  <si>
    <t xml:space="preserve"> </t>
  </si>
  <si>
    <t>CHF</t>
  </si>
  <si>
    <t>Rechnungstotal</t>
  </si>
  <si>
    <t>4002 Basel</t>
  </si>
  <si>
    <t xml:space="preserve">               </t>
  </si>
  <si>
    <t>Honorar</t>
  </si>
  <si>
    <t>MwSt.</t>
  </si>
  <si>
    <t>Bundesamt für Strassen (ASTRA)</t>
  </si>
  <si>
    <t xml:space="preserve">CHE-164.869.840 MWST </t>
  </si>
  <si>
    <t>N3 EP Rheinfelden - Frick</t>
  </si>
  <si>
    <t>EP RHE FRI, 090069, FUP_EP Rheinfelden, N. Schulz</t>
  </si>
  <si>
    <t>Bitte überweisen Sie den Betrag innert 45 Tagen auf unser Konto bei der</t>
  </si>
  <si>
    <t>Rechnungs-/Projektgrundlagen</t>
  </si>
  <si>
    <t>Projekt-Nummer</t>
  </si>
  <si>
    <t>Projektleiter</t>
  </si>
  <si>
    <t>Zahlungsfrist/Tage</t>
  </si>
  <si>
    <t>Auftraggeber</t>
  </si>
  <si>
    <t>Rabatt</t>
  </si>
  <si>
    <t>Nebenkosten</t>
  </si>
  <si>
    <t>Versandadresse</t>
  </si>
  <si>
    <t>Bemerkungen zum Projekt</t>
  </si>
  <si>
    <t>Bemerkungen zur Rechnung</t>
  </si>
  <si>
    <t>Index (bei Bedarf)</t>
  </si>
  <si>
    <t>Rechnung erstellt von</t>
  </si>
  <si>
    <t>Rechnungsnummer</t>
  </si>
  <si>
    <t>Rechnungsdatum</t>
  </si>
  <si>
    <t>Leistungszeitraum</t>
  </si>
  <si>
    <t>Rechnung</t>
  </si>
  <si>
    <t>UID Nr.</t>
  </si>
  <si>
    <t>CHE-105.932.199 MWST</t>
  </si>
  <si>
    <t>Rechnung-Nr.</t>
  </si>
  <si>
    <t>Datum</t>
  </si>
  <si>
    <t>Auftrag-Nr.</t>
  </si>
  <si>
    <t>Zahlungsziel</t>
  </si>
  <si>
    <t>Regierapport, verrechnet nach SIA-Honorarordnung 103, Zeittarif</t>
  </si>
  <si>
    <t>Mehrwertsteuer</t>
  </si>
  <si>
    <t>c/o Aegerter &amp; Bosshardt AG</t>
  </si>
  <si>
    <t>Hochstrasse 48</t>
  </si>
  <si>
    <t>WN</t>
  </si>
  <si>
    <t>INGE EP RF-BB</t>
  </si>
  <si>
    <t>Phase EK/GP</t>
  </si>
  <si>
    <t>Vertrag 090069/000003 vom 14.11.2018</t>
  </si>
  <si>
    <t>EP RHE FRI, 090069, FUP_EP Rheinfelden</t>
  </si>
  <si>
    <t>Basler Kantonalbank, Basel, IBAN CH50 0077 0254 2872 1200 1 Besten Dank.</t>
  </si>
  <si>
    <t>01.11.2018 - 31.12.2018</t>
  </si>
  <si>
    <t>.910</t>
  </si>
  <si>
    <t>Nebenkosten gemäss Beilage</t>
  </si>
  <si>
    <t>Aegerter &amp; Bosshardt AG</t>
  </si>
  <si>
    <t>Jauslin Stebler AG</t>
  </si>
  <si>
    <t>Leipert AG</t>
  </si>
  <si>
    <t>.500</t>
  </si>
  <si>
    <t>Phase EK/GP, Digitalisierung</t>
  </si>
  <si>
    <t xml:space="preserve"> - monatliche Miete inkl. Nebenkosten</t>
  </si>
  <si>
    <t>Holinger AG</t>
  </si>
  <si>
    <t>01.11.2019 - 30.11.2019</t>
  </si>
  <si>
    <t>Honorar Erhaltungskonzept</t>
  </si>
  <si>
    <t>.200</t>
  </si>
  <si>
    <t>01.10.2020 - 31.10.2020</t>
  </si>
  <si>
    <t>.310.320.420.100</t>
  </si>
  <si>
    <t>MNo</t>
  </si>
  <si>
    <t>Auftrag Nr. 9890 / FCh / MNo</t>
  </si>
  <si>
    <t>FCh</t>
  </si>
  <si>
    <t>Nationalstr.-u. Agglo.verk.fonds (NAF)</t>
  </si>
  <si>
    <t>c/o DLZ FI</t>
  </si>
  <si>
    <t>CH-3003 Bern</t>
  </si>
  <si>
    <t>alte Vertragsnummer: 090069/000003 vom 14.11.2018</t>
  </si>
  <si>
    <t>Postfach, 4002 Basel</t>
  </si>
  <si>
    <t>Projektleiter ASTRA: Nicole Schulz</t>
  </si>
  <si>
    <t>ASTRA Bestellnummer: 1357043803</t>
  </si>
  <si>
    <t>ASTRA Projekt-Nr. und Bezeichnung: MP-090069 PV Bau/BSA</t>
  </si>
  <si>
    <t>ASTRA Vertrags-Nr.: 1355045080</t>
  </si>
  <si>
    <t>Teuerungsfaktor</t>
  </si>
  <si>
    <t>Basel, 30. Oktober 2023</t>
  </si>
  <si>
    <t>RECHNUNG Nr. 54</t>
  </si>
  <si>
    <t>Erbrachte Leistungen vom 1.01.2022 bis 31.12.2022</t>
  </si>
  <si>
    <t>Honorar 2022</t>
  </si>
  <si>
    <t>01.01.2022 - 31.12.2022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</si>
</sst>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&quot;Rechnung Nr. &quot;\ #####"/>
    <numFmt numFmtId="166" formatCode="dd/mm/yyyy;@"/>
  </numFmts>
  <fonts count="17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u/>
      <sz val="10"/>
      <name val="Arial"/>
      <family val="2"/>
    </font>
    <font>
      <b/>
      <sz val="11"/>
      <name val="Arial"/>
      <family val="2"/>
    </font>
    <font>
      <i/>
      <sz val="10"/>
      <color rgb="FF000000"/>
      <name val="Arial"/>
      <family val="2"/>
    </font>
    <font>
      <b/>
      <sz val="11"/>
      <color rgb="FFFF0000"/>
      <name val="Arial"/>
      <family val="2"/>
    </font>
    <font>
      <sz val="11"/>
      <color rgb="FFFF0000"/>
      <name val="Arial"/>
      <family val="2"/>
    </font>
    <font>
      <sz val="18"/>
      <name val="Arial"/>
      <family val="2"/>
    </font>
    <font>
      <u/>
      <sz val="11"/>
      <name val="Arial"/>
      <family val="2"/>
    </font>
    <font>
      <b/>
      <u/>
      <sz val="11"/>
      <name val="Arial"/>
      <family val="2"/>
    </font>
    <font>
      <sz val="11"/>
      <color rgb="FF00B050"/>
      <name val="Arial"/>
      <family val="2"/>
    </font>
    <font>
      <sz val="9.5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</borders>
  <cellStyleXfs count="2">
    <xf numFmtId="0" fontId="0" fillId="0" borderId="0"/>
    <xf numFmtId="0" fontId="1" fillId="0" borderId="0"/>
  </cellStyleXfs>
  <cellXfs count="159">
    <xf numFmtId="0" fontId="0" fillId="0" borderId="0" xfId="0"/>
    <xf numFmtId="0" fontId="0" fillId="0" borderId="0" xfId="0" applyBorder="1"/>
    <xf numFmtId="0" fontId="3" fillId="0" borderId="2" xfId="0" applyFont="1" applyBorder="1" applyAlignment="1">
      <alignment horizontal="right"/>
    </xf>
    <xf numFmtId="0" fontId="3" fillId="0" borderId="2" xfId="0" quotePrefix="1" applyFont="1" applyBorder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4" fillId="0" borderId="2" xfId="0" applyFont="1" applyBorder="1"/>
    <xf numFmtId="0" fontId="4" fillId="0" borderId="0" xfId="0" applyFont="1" applyBorder="1"/>
    <xf numFmtId="0" fontId="4" fillId="0" borderId="0" xfId="0" quotePrefix="1" applyFont="1" applyAlignment="1">
      <alignment horizontal="left"/>
    </xf>
    <xf numFmtId="4" fontId="4" fillId="0" borderId="0" xfId="0" applyNumberFormat="1" applyFont="1" applyBorder="1"/>
    <xf numFmtId="0" fontId="4" fillId="0" borderId="2" xfId="0" applyFont="1" applyBorder="1" applyAlignment="1">
      <alignment horizontal="left"/>
    </xf>
    <xf numFmtId="0" fontId="0" fillId="0" borderId="2" xfId="0" applyBorder="1"/>
    <xf numFmtId="0" fontId="4" fillId="0" borderId="2" xfId="0" quotePrefix="1" applyFont="1" applyBorder="1" applyAlignment="1">
      <alignment horizontal="left"/>
    </xf>
    <xf numFmtId="2" fontId="4" fillId="0" borderId="0" xfId="0" applyNumberFormat="1" applyFont="1"/>
    <xf numFmtId="0" fontId="2" fillId="0" borderId="0" xfId="0" applyFont="1"/>
    <xf numFmtId="0" fontId="4" fillId="0" borderId="0" xfId="0" applyFont="1" applyBorder="1" applyAlignment="1">
      <alignment horizontal="left"/>
    </xf>
    <xf numFmtId="0" fontId="0" fillId="0" borderId="6" xfId="0" applyBorder="1"/>
    <xf numFmtId="0" fontId="4" fillId="0" borderId="6" xfId="0" applyFont="1" applyBorder="1" applyAlignment="1">
      <alignment horizontal="left"/>
    </xf>
    <xf numFmtId="0" fontId="4" fillId="0" borderId="6" xfId="0" applyFont="1" applyBorder="1"/>
    <xf numFmtId="2" fontId="4" fillId="0" borderId="6" xfId="0" applyNumberFormat="1" applyFont="1" applyBorder="1"/>
    <xf numFmtId="4" fontId="4" fillId="0" borderId="6" xfId="0" applyNumberFormat="1" applyFont="1" applyBorder="1"/>
    <xf numFmtId="4" fontId="5" fillId="0" borderId="1" xfId="0" applyNumberFormat="1" applyFont="1" applyBorder="1"/>
    <xf numFmtId="0" fontId="6" fillId="0" borderId="0" xfId="0" applyFont="1"/>
    <xf numFmtId="0" fontId="5" fillId="0" borderId="0" xfId="0" applyFont="1"/>
    <xf numFmtId="4" fontId="5" fillId="0" borderId="0" xfId="0" applyNumberFormat="1" applyFont="1" applyBorder="1"/>
    <xf numFmtId="2" fontId="5" fillId="0" borderId="1" xfId="0" applyNumberFormat="1" applyFont="1" applyBorder="1" applyAlignment="1">
      <alignment horizontal="right"/>
    </xf>
    <xf numFmtId="4" fontId="7" fillId="0" borderId="1" xfId="0" applyNumberFormat="1" applyFont="1" applyBorder="1"/>
    <xf numFmtId="1" fontId="7" fillId="0" borderId="0" xfId="0" applyNumberFormat="1" applyFont="1" applyFill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/>
    <xf numFmtId="0" fontId="1" fillId="0" borderId="0" xfId="0" quotePrefix="1" applyFont="1" applyAlignment="1">
      <alignment horizontal="left"/>
    </xf>
    <xf numFmtId="0" fontId="1" fillId="0" borderId="0" xfId="0" applyFont="1" applyBorder="1"/>
    <xf numFmtId="0" fontId="1" fillId="0" borderId="1" xfId="0" applyFont="1" applyBorder="1"/>
    <xf numFmtId="0" fontId="1" fillId="0" borderId="0" xfId="0" applyFont="1" applyBorder="1" applyAlignment="1">
      <alignment horizontal="center"/>
    </xf>
    <xf numFmtId="0" fontId="1" fillId="0" borderId="0" xfId="0" quotePrefix="1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6" fillId="0" borderId="0" xfId="0" quotePrefix="1" applyFont="1" applyBorder="1" applyAlignment="1">
      <alignment horizontal="left"/>
    </xf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centerContinuous"/>
    </xf>
    <xf numFmtId="4" fontId="1" fillId="0" borderId="1" xfId="0" applyNumberFormat="1" applyFont="1" applyBorder="1"/>
    <xf numFmtId="0" fontId="1" fillId="0" borderId="0" xfId="0" applyFont="1" applyFill="1" applyAlignment="1">
      <alignment horizontal="left"/>
    </xf>
    <xf numFmtId="0" fontId="1" fillId="0" borderId="0" xfId="0" applyFont="1" applyFill="1"/>
    <xf numFmtId="4" fontId="1" fillId="0" borderId="1" xfId="0" applyNumberFormat="1" applyFont="1" applyFill="1" applyBorder="1"/>
    <xf numFmtId="4" fontId="1" fillId="0" borderId="0" xfId="0" applyNumberFormat="1" applyFont="1" applyFill="1" applyBorder="1"/>
    <xf numFmtId="0" fontId="1" fillId="0" borderId="0" xfId="0" applyFont="1" applyFill="1" applyAlignment="1">
      <alignment horizontal="centerContinuous"/>
    </xf>
    <xf numFmtId="2" fontId="1" fillId="0" borderId="0" xfId="0" applyNumberFormat="1" applyFont="1" applyFill="1" applyAlignment="1">
      <alignment horizontal="right"/>
    </xf>
    <xf numFmtId="2" fontId="1" fillId="0" borderId="1" xfId="0" applyNumberFormat="1" applyFont="1" applyFill="1" applyBorder="1" applyAlignment="1">
      <alignment horizontal="right"/>
    </xf>
    <xf numFmtId="0" fontId="1" fillId="0" borderId="0" xfId="0" applyFont="1" applyFill="1" applyBorder="1"/>
    <xf numFmtId="2" fontId="1" fillId="0" borderId="0" xfId="0" applyNumberFormat="1" applyFont="1" applyFill="1" applyAlignment="1">
      <alignment horizontal="center"/>
    </xf>
    <xf numFmtId="4" fontId="1" fillId="0" borderId="0" xfId="0" applyNumberFormat="1" applyFont="1" applyFill="1" applyBorder="1" applyAlignment="1">
      <alignment horizontal="right"/>
    </xf>
    <xf numFmtId="4" fontId="1" fillId="0" borderId="0" xfId="0" applyNumberFormat="1" applyFont="1" applyAlignment="1">
      <alignment horizontal="right"/>
    </xf>
    <xf numFmtId="2" fontId="1" fillId="0" borderId="0" xfId="0" applyNumberFormat="1" applyFont="1"/>
    <xf numFmtId="0" fontId="1" fillId="0" borderId="0" xfId="0" quotePrefix="1" applyFont="1"/>
    <xf numFmtId="0" fontId="1" fillId="0" borderId="0" xfId="0" quotePrefix="1" applyFont="1" applyAlignment="1">
      <alignment horizontal="right"/>
    </xf>
    <xf numFmtId="0" fontId="2" fillId="0" borderId="7" xfId="0" applyFont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2" fillId="0" borderId="0" xfId="0" applyFont="1" applyBorder="1" applyAlignment="1">
      <alignment horizontal="center" vertical="top"/>
    </xf>
    <xf numFmtId="0" fontId="1" fillId="0" borderId="3" xfId="0" quotePrefix="1" applyFont="1" applyBorder="1" applyAlignment="1">
      <alignment horizontal="left"/>
    </xf>
    <xf numFmtId="0" fontId="1" fillId="0" borderId="3" xfId="0" applyFont="1" applyBorder="1"/>
    <xf numFmtId="0" fontId="1" fillId="0" borderId="4" xfId="0" applyFont="1" applyBorder="1"/>
    <xf numFmtId="1" fontId="1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4" fontId="1" fillId="0" borderId="0" xfId="0" applyNumberFormat="1" applyFont="1" applyFill="1"/>
    <xf numFmtId="0" fontId="4" fillId="0" borderId="0" xfId="0" applyFont="1" applyAlignment="1">
      <alignment horizontal="center"/>
    </xf>
    <xf numFmtId="0" fontId="6" fillId="0" borderId="0" xfId="0" applyFont="1" applyBorder="1"/>
    <xf numFmtId="2" fontId="1" fillId="0" borderId="1" xfId="0" applyNumberFormat="1" applyFont="1" applyFill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4" fillId="0" borderId="0" xfId="1" applyFont="1"/>
    <xf numFmtId="0" fontId="4" fillId="0" borderId="0" xfId="1" applyFont="1" applyAlignment="1">
      <alignment horizontal="left"/>
    </xf>
    <xf numFmtId="0" fontId="4" fillId="0" borderId="0" xfId="1" quotePrefix="1" applyFont="1"/>
    <xf numFmtId="0" fontId="4" fillId="0" borderId="0" xfId="1" quotePrefix="1" applyFont="1" applyAlignment="1">
      <alignment horizontal="left"/>
    </xf>
    <xf numFmtId="0" fontId="1" fillId="0" borderId="0" xfId="1" applyFont="1" applyAlignment="1">
      <alignment horizontal="left"/>
    </xf>
    <xf numFmtId="0" fontId="1" fillId="0" borderId="0" xfId="1" applyFont="1"/>
    <xf numFmtId="0" fontId="1" fillId="0" borderId="3" xfId="1" quotePrefix="1" applyFont="1" applyBorder="1" applyAlignment="1">
      <alignment horizontal="left"/>
    </xf>
    <xf numFmtId="0" fontId="1" fillId="0" borderId="3" xfId="1" applyFont="1" applyBorder="1"/>
    <xf numFmtId="0" fontId="1" fillId="0" borderId="3" xfId="1" applyFont="1" applyBorder="1" applyAlignment="1">
      <alignment horizontal="center"/>
    </xf>
    <xf numFmtId="2" fontId="4" fillId="0" borderId="0" xfId="1" applyNumberFormat="1" applyFont="1"/>
    <xf numFmtId="0" fontId="4" fillId="0" borderId="1" xfId="1" applyFont="1" applyBorder="1"/>
    <xf numFmtId="4" fontId="4" fillId="0" borderId="0" xfId="1" applyNumberFormat="1" applyFont="1" applyBorder="1"/>
    <xf numFmtId="4" fontId="4" fillId="0" borderId="1" xfId="1" applyNumberFormat="1" applyFont="1" applyBorder="1"/>
    <xf numFmtId="0" fontId="7" fillId="0" borderId="0" xfId="0" quotePrefix="1" applyFont="1" applyFill="1" applyAlignment="1">
      <alignment horizontal="center"/>
    </xf>
    <xf numFmtId="4" fontId="1" fillId="2" borderId="0" xfId="0" applyNumberFormat="1" applyFont="1" applyFill="1" applyBorder="1"/>
    <xf numFmtId="0" fontId="4" fillId="0" borderId="0" xfId="1" applyFont="1" applyBorder="1"/>
    <xf numFmtId="0" fontId="8" fillId="0" borderId="0" xfId="0" applyFont="1" applyAlignment="1">
      <alignment horizontal="left" vertical="center"/>
    </xf>
    <xf numFmtId="0" fontId="7" fillId="0" borderId="0" xfId="0" applyFont="1" applyFill="1" applyBorder="1" applyAlignment="1">
      <alignment horizontal="left"/>
    </xf>
    <xf numFmtId="0" fontId="8" fillId="3" borderId="0" xfId="1" applyFont="1" applyFill="1"/>
    <xf numFmtId="0" fontId="1" fillId="3" borderId="0" xfId="1" applyFont="1" applyFill="1"/>
    <xf numFmtId="0" fontId="1" fillId="2" borderId="0" xfId="1" quotePrefix="1" applyFont="1" applyFill="1" applyAlignment="1">
      <alignment horizontal="left"/>
    </xf>
    <xf numFmtId="0" fontId="1" fillId="2" borderId="0" xfId="1" applyFont="1" applyFill="1"/>
    <xf numFmtId="0" fontId="1" fillId="0" borderId="0" xfId="1" applyAlignment="1">
      <alignment horizontal="left"/>
    </xf>
    <xf numFmtId="0" fontId="1" fillId="2" borderId="0" xfId="1" applyFont="1" applyFill="1" applyAlignment="1">
      <alignment horizontal="left"/>
    </xf>
    <xf numFmtId="0" fontId="1" fillId="3" borderId="0" xfId="1" applyFont="1" applyFill="1" applyAlignment="1">
      <alignment horizontal="left"/>
    </xf>
    <xf numFmtId="164" fontId="1" fillId="2" borderId="0" xfId="1" applyNumberFormat="1" applyFont="1" applyFill="1" applyAlignment="1">
      <alignment horizontal="left"/>
    </xf>
    <xf numFmtId="0" fontId="10" fillId="3" borderId="0" xfId="1" applyFont="1" applyFill="1" applyAlignment="1">
      <alignment vertical="top" wrapText="1"/>
    </xf>
    <xf numFmtId="0" fontId="11" fillId="2" borderId="0" xfId="1" applyFont="1" applyFill="1" applyAlignment="1">
      <alignment horizontal="left" vertical="top" wrapText="1"/>
    </xf>
    <xf numFmtId="0" fontId="4" fillId="3" borderId="0" xfId="1" applyFont="1" applyFill="1"/>
    <xf numFmtId="0" fontId="4" fillId="0" borderId="0" xfId="1" quotePrefix="1" applyFont="1" applyFill="1" applyAlignment="1">
      <alignment horizontal="left"/>
    </xf>
    <xf numFmtId="0" fontId="4" fillId="0" borderId="0" xfId="1" applyFont="1" applyFill="1" applyAlignment="1">
      <alignment horizontal="left"/>
    </xf>
    <xf numFmtId="0" fontId="4" fillId="0" borderId="0" xfId="1" applyNumberFormat="1" applyFont="1" applyFill="1" applyAlignment="1">
      <alignment horizontal="left"/>
    </xf>
    <xf numFmtId="14" fontId="4" fillId="0" borderId="0" xfId="1" applyNumberFormat="1" applyFont="1" applyFill="1" applyAlignment="1">
      <alignment horizontal="left"/>
    </xf>
    <xf numFmtId="166" fontId="1" fillId="0" borderId="0" xfId="1" applyNumberFormat="1" applyFont="1" applyAlignment="1">
      <alignment horizontal="left"/>
    </xf>
    <xf numFmtId="0" fontId="4" fillId="0" borderId="0" xfId="1" quotePrefix="1" applyFont="1" applyAlignment="1"/>
    <xf numFmtId="0" fontId="1" fillId="0" borderId="0" xfId="1" quotePrefix="1" applyFont="1" applyAlignment="1"/>
    <xf numFmtId="0" fontId="4" fillId="3" borderId="0" xfId="1" applyFont="1" applyFill="1" applyBorder="1"/>
    <xf numFmtId="0" fontId="8" fillId="0" borderId="0" xfId="1" applyFont="1" applyBorder="1" applyAlignment="1"/>
    <xf numFmtId="0" fontId="4" fillId="3" borderId="0" xfId="1" applyFont="1" applyFill="1" applyBorder="1" applyAlignment="1">
      <alignment horizontal="center"/>
    </xf>
    <xf numFmtId="0" fontId="8" fillId="0" borderId="0" xfId="1" applyFont="1"/>
    <xf numFmtId="0" fontId="4" fillId="0" borderId="0" xfId="1" applyFont="1" applyBorder="1" applyAlignment="1"/>
    <xf numFmtId="0" fontId="4" fillId="0" borderId="0" xfId="1" applyFont="1" applyAlignment="1"/>
    <xf numFmtId="4" fontId="4" fillId="0" borderId="0" xfId="1" applyNumberFormat="1" applyFont="1" applyBorder="1" applyAlignment="1"/>
    <xf numFmtId="0" fontId="4" fillId="0" borderId="2" xfId="1" applyFont="1" applyBorder="1" applyAlignment="1">
      <alignment horizontal="left"/>
    </xf>
    <xf numFmtId="0" fontId="4" fillId="0" borderId="2" xfId="1" applyFont="1" applyBorder="1" applyAlignment="1">
      <alignment horizontal="center"/>
    </xf>
    <xf numFmtId="0" fontId="4" fillId="0" borderId="2" xfId="1" applyFont="1" applyBorder="1"/>
    <xf numFmtId="0" fontId="1" fillId="0" borderId="7" xfId="1" applyFont="1" applyBorder="1" applyAlignment="1">
      <alignment horizontal="center" vertical="top"/>
    </xf>
    <xf numFmtId="0" fontId="1" fillId="0" borderId="8" xfId="1" applyFont="1" applyBorder="1" applyAlignment="1">
      <alignment horizontal="center" vertical="top"/>
    </xf>
    <xf numFmtId="0" fontId="1" fillId="3" borderId="0" xfId="1" applyFont="1" applyFill="1" applyBorder="1"/>
    <xf numFmtId="0" fontId="4" fillId="0" borderId="0" xfId="1" applyFont="1" applyAlignment="1">
      <alignment horizontal="center"/>
    </xf>
    <xf numFmtId="0" fontId="4" fillId="0" borderId="5" xfId="1" applyFont="1" applyBorder="1" applyAlignment="1">
      <alignment horizontal="center" vertical="top"/>
    </xf>
    <xf numFmtId="0" fontId="4" fillId="0" borderId="0" xfId="1" applyFont="1" applyBorder="1" applyAlignment="1">
      <alignment horizontal="center" vertical="top"/>
    </xf>
    <xf numFmtId="4" fontId="4" fillId="0" borderId="5" xfId="1" applyNumberFormat="1" applyFont="1" applyBorder="1"/>
    <xf numFmtId="164" fontId="4" fillId="0" borderId="1" xfId="1" applyNumberFormat="1" applyFont="1" applyBorder="1"/>
    <xf numFmtId="4" fontId="4" fillId="0" borderId="10" xfId="1" applyNumberFormat="1" applyFont="1" applyBorder="1"/>
    <xf numFmtId="9" fontId="4" fillId="0" borderId="0" xfId="1" applyNumberFormat="1" applyFont="1"/>
    <xf numFmtId="0" fontId="4" fillId="0" borderId="0" xfId="1" applyFont="1" applyAlignment="1">
      <alignment horizontal="right"/>
    </xf>
    <xf numFmtId="4" fontId="4" fillId="0" borderId="0" xfId="1" applyNumberFormat="1" applyFont="1"/>
    <xf numFmtId="0" fontId="13" fillId="0" borderId="0" xfId="1" quotePrefix="1" applyFont="1"/>
    <xf numFmtId="0" fontId="4" fillId="0" borderId="0" xfId="1" applyFont="1" applyAlignment="1">
      <alignment horizontal="centerContinuous"/>
    </xf>
    <xf numFmtId="4" fontId="4" fillId="0" borderId="9" xfId="1" applyNumberFormat="1" applyFont="1" applyBorder="1"/>
    <xf numFmtId="0" fontId="8" fillId="0" borderId="0" xfId="1" applyFont="1" applyBorder="1"/>
    <xf numFmtId="0" fontId="8" fillId="0" borderId="0" xfId="1" quotePrefix="1" applyFont="1" applyBorder="1" applyAlignment="1">
      <alignment horizontal="left"/>
    </xf>
    <xf numFmtId="0" fontId="8" fillId="0" borderId="0" xfId="1" applyFont="1" applyBorder="1" applyAlignment="1">
      <alignment horizontal="centerContinuous"/>
    </xf>
    <xf numFmtId="0" fontId="8" fillId="0" borderId="0" xfId="1" quotePrefix="1" applyFont="1" applyBorder="1" applyAlignment="1">
      <alignment horizontal="center"/>
    </xf>
    <xf numFmtId="9" fontId="8" fillId="0" borderId="0" xfId="1" applyNumberFormat="1" applyFont="1" applyBorder="1"/>
    <xf numFmtId="4" fontId="14" fillId="0" borderId="5" xfId="1" applyNumberFormat="1" applyFont="1" applyBorder="1"/>
    <xf numFmtId="4" fontId="8" fillId="0" borderId="0" xfId="1" applyNumberFormat="1" applyFont="1" applyBorder="1" applyAlignment="1"/>
    <xf numFmtId="0" fontId="0" fillId="0" borderId="0" xfId="0" applyAlignment="1">
      <alignment horizontal="left"/>
    </xf>
    <xf numFmtId="0" fontId="1" fillId="0" borderId="0" xfId="0" quotePrefix="1" applyFont="1" applyFill="1" applyAlignment="1">
      <alignment horizontal="left"/>
    </xf>
    <xf numFmtId="0" fontId="7" fillId="0" borderId="0" xfId="0" quotePrefix="1" applyFont="1" applyFill="1" applyAlignment="1">
      <alignment horizontal="left"/>
    </xf>
    <xf numFmtId="4" fontId="4" fillId="0" borderId="7" xfId="1" applyNumberFormat="1" applyFont="1" applyBorder="1"/>
    <xf numFmtId="4" fontId="4" fillId="0" borderId="1" xfId="0" applyNumberFormat="1" applyFont="1" applyFill="1" applyBorder="1"/>
    <xf numFmtId="4" fontId="4" fillId="0" borderId="10" xfId="0" applyNumberFormat="1" applyFont="1" applyFill="1" applyBorder="1"/>
    <xf numFmtId="0" fontId="0" fillId="0" borderId="0" xfId="0" applyAlignment="1"/>
    <xf numFmtId="0" fontId="13" fillId="0" borderId="0" xfId="0" applyFont="1" applyFill="1" applyBorder="1" applyAlignment="1">
      <alignment horizontal="left"/>
    </xf>
    <xf numFmtId="0" fontId="4" fillId="0" borderId="0" xfId="0" quotePrefix="1" applyFont="1" applyFill="1" applyAlignment="1">
      <alignment horizontal="left"/>
    </xf>
    <xf numFmtId="10" fontId="4" fillId="0" borderId="1" xfId="1" applyNumberFormat="1" applyFont="1" applyBorder="1"/>
    <xf numFmtId="2" fontId="5" fillId="0" borderId="0" xfId="0" applyNumberFormat="1" applyFont="1" applyBorder="1" applyAlignment="1">
      <alignment horizontal="right"/>
    </xf>
    <xf numFmtId="0" fontId="15" fillId="0" borderId="0" xfId="1" applyFont="1"/>
    <xf numFmtId="0" fontId="11" fillId="4" borderId="0" xfId="1" applyFont="1" applyFill="1"/>
    <xf numFmtId="0" fontId="4" fillId="4" borderId="0" xfId="1" applyFont="1" applyFill="1"/>
    <xf numFmtId="0" fontId="4" fillId="0" borderId="0" xfId="0" applyFont="1" applyAlignment="1">
      <alignment horizontal="left" wrapText="1"/>
    </xf>
    <xf numFmtId="0" fontId="0" fillId="0" borderId="0" xfId="0" applyAlignment="1"/>
    <xf numFmtId="0" fontId="1" fillId="2" borderId="0" xfId="1" applyFont="1" applyFill="1" applyAlignment="1">
      <alignment horizontal="left" vertical="top"/>
    </xf>
    <xf numFmtId="165" fontId="12" fillId="0" borderId="0" xfId="1" applyNumberFormat="1" applyFont="1" applyBorder="1" applyAlignment="1">
      <alignment horizontal="left" vertical="top"/>
    </xf>
    <xf numFmtId="0" fontId="4" fillId="0" borderId="0" xfId="1" applyFont="1" applyAlignment="1">
      <alignment horizontal="left" vertical="top" wrapText="1"/>
    </xf>
    <xf numFmtId="0" fontId="16" fillId="2" borderId="0" xfId="1" applyFont="1" applyFill="1" applyAlignment="1">
      <alignment horizontal="center" vertical="top" wrapText="1"/>
    </xf>
    <xf numFmtId="0" fontId="16" fillId="2" borderId="0" xfId="1" applyFont="1" applyFill="1" applyAlignment="1">
      <alignment horizontal="center" vertical="top"/>
    </xf>
  </cellXfs>
  <cellStyles count="2">
    <cellStyle name="Standard" xfId="0" builtinId="0"/>
    <cellStyle name="Standard 2" xfId="1"/>
  </cellStyles>
  <dxfs count="8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I:\Info\Musterbuch_frei\Logos\Rechnungsstempel.emf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file:///I:\Info\Musterbuch_frei\Logos\Rechnungsstempel.emf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wmf"/><Relationship Id="rId1" Type="http://schemas.openxmlformats.org/officeDocument/2006/relationships/image" Target="../media/image3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wmf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wmf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wmf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125</xdr:row>
          <xdr:rowOff>47625</xdr:rowOff>
        </xdr:from>
        <xdr:to>
          <xdr:col>8</xdr:col>
          <xdr:colOff>828675</xdr:colOff>
          <xdr:row>127</xdr:row>
          <xdr:rowOff>47625</xdr:rowOff>
        </xdr:to>
        <xdr:sp macro="" textlink="">
          <xdr:nvSpPr>
            <xdr:cNvPr id="59393" name="Bild 14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38100</xdr:colOff>
      <xdr:row>56</xdr:row>
      <xdr:rowOff>47625</xdr:rowOff>
    </xdr:from>
    <xdr:to>
      <xdr:col>3</xdr:col>
      <xdr:colOff>114300</xdr:colOff>
      <xdr:row>62</xdr:row>
      <xdr:rowOff>85725</xdr:rowOff>
    </xdr:to>
    <xdr:sp macro="" textlink="">
      <xdr:nvSpPr>
        <xdr:cNvPr id="3" name="Text Box 15"/>
        <xdr:cNvSpPr txBox="1">
          <a:spLocks noChangeArrowheads="1"/>
        </xdr:cNvSpPr>
      </xdr:nvSpPr>
      <xdr:spPr bwMode="auto">
        <a:xfrm>
          <a:off x="38100" y="9782175"/>
          <a:ext cx="1895475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de-CH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Aegerter &amp; Bosshardt AG</a:t>
          </a:r>
        </a:p>
        <a:p>
          <a:pPr algn="l" rtl="0">
            <a:defRPr sz="1000"/>
          </a:pPr>
          <a:r>
            <a:rPr lang="de-CH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Lautengartenstrasse 6,</a:t>
          </a:r>
        </a:p>
        <a:p>
          <a:pPr algn="l" rtl="0">
            <a:defRPr sz="1000"/>
          </a:pPr>
          <a:r>
            <a:rPr lang="de-CH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4052 Basel</a:t>
          </a:r>
        </a:p>
        <a:p>
          <a:pPr algn="l" rtl="0">
            <a:defRPr sz="1000"/>
          </a:pPr>
          <a:r>
            <a:rPr lang="de-CH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Telefon 061 365 22 22</a:t>
          </a:r>
        </a:p>
        <a:p>
          <a:pPr algn="l" rtl="0">
            <a:defRPr sz="1000"/>
          </a:pPr>
          <a:r>
            <a:rPr lang="de-CH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E-Mail: basel@aebo.ch  </a:t>
          </a:r>
        </a:p>
        <a:p>
          <a:pPr algn="l" rtl="0">
            <a:defRPr sz="1000"/>
          </a:pPr>
          <a:r>
            <a:rPr lang="de-CH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www.aebo.ch</a:t>
          </a:r>
          <a:endParaRPr lang="de-CH"/>
        </a:p>
      </xdr:txBody>
    </xdr:sp>
    <xdr:clientData/>
  </xdr:twoCellAnchor>
  <xdr:twoCellAnchor>
    <xdr:from>
      <xdr:col>23</xdr:col>
      <xdr:colOff>314325</xdr:colOff>
      <xdr:row>48</xdr:row>
      <xdr:rowOff>0</xdr:rowOff>
    </xdr:from>
    <xdr:to>
      <xdr:col>23</xdr:col>
      <xdr:colOff>762000</xdr:colOff>
      <xdr:row>48</xdr:row>
      <xdr:rowOff>0</xdr:rowOff>
    </xdr:to>
    <xdr:sp macro="" textlink="">
      <xdr:nvSpPr>
        <xdr:cNvPr id="4" name="Line 46"/>
        <xdr:cNvSpPr>
          <a:spLocks noChangeShapeType="1"/>
        </xdr:cNvSpPr>
      </xdr:nvSpPr>
      <xdr:spPr bwMode="auto">
        <a:xfrm>
          <a:off x="16944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314325</xdr:colOff>
      <xdr:row>48</xdr:row>
      <xdr:rowOff>0</xdr:rowOff>
    </xdr:from>
    <xdr:to>
      <xdr:col>31</xdr:col>
      <xdr:colOff>762000</xdr:colOff>
      <xdr:row>48</xdr:row>
      <xdr:rowOff>0</xdr:rowOff>
    </xdr:to>
    <xdr:sp macro="" textlink="">
      <xdr:nvSpPr>
        <xdr:cNvPr id="5" name="Line 47"/>
        <xdr:cNvSpPr>
          <a:spLocks noChangeShapeType="1"/>
        </xdr:cNvSpPr>
      </xdr:nvSpPr>
      <xdr:spPr bwMode="auto">
        <a:xfrm>
          <a:off x="23040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314325</xdr:colOff>
      <xdr:row>48</xdr:row>
      <xdr:rowOff>0</xdr:rowOff>
    </xdr:from>
    <xdr:to>
      <xdr:col>39</xdr:col>
      <xdr:colOff>762000</xdr:colOff>
      <xdr:row>48</xdr:row>
      <xdr:rowOff>0</xdr:rowOff>
    </xdr:to>
    <xdr:sp macro="" textlink="">
      <xdr:nvSpPr>
        <xdr:cNvPr id="6" name="Line 48"/>
        <xdr:cNvSpPr>
          <a:spLocks noChangeShapeType="1"/>
        </xdr:cNvSpPr>
      </xdr:nvSpPr>
      <xdr:spPr bwMode="auto">
        <a:xfrm>
          <a:off x="29136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314325</xdr:colOff>
      <xdr:row>48</xdr:row>
      <xdr:rowOff>0</xdr:rowOff>
    </xdr:from>
    <xdr:to>
      <xdr:col>47</xdr:col>
      <xdr:colOff>762000</xdr:colOff>
      <xdr:row>48</xdr:row>
      <xdr:rowOff>0</xdr:rowOff>
    </xdr:to>
    <xdr:sp macro="" textlink="">
      <xdr:nvSpPr>
        <xdr:cNvPr id="7" name="Line 49"/>
        <xdr:cNvSpPr>
          <a:spLocks noChangeShapeType="1"/>
        </xdr:cNvSpPr>
      </xdr:nvSpPr>
      <xdr:spPr bwMode="auto">
        <a:xfrm>
          <a:off x="35232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314325</xdr:colOff>
      <xdr:row>48</xdr:row>
      <xdr:rowOff>0</xdr:rowOff>
    </xdr:from>
    <xdr:to>
      <xdr:col>55</xdr:col>
      <xdr:colOff>762000</xdr:colOff>
      <xdr:row>48</xdr:row>
      <xdr:rowOff>0</xdr:rowOff>
    </xdr:to>
    <xdr:sp macro="" textlink="">
      <xdr:nvSpPr>
        <xdr:cNvPr id="8" name="Line 50"/>
        <xdr:cNvSpPr>
          <a:spLocks noChangeShapeType="1"/>
        </xdr:cNvSpPr>
      </xdr:nvSpPr>
      <xdr:spPr bwMode="auto">
        <a:xfrm>
          <a:off x="41328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63</xdr:col>
      <xdr:colOff>314325</xdr:colOff>
      <xdr:row>48</xdr:row>
      <xdr:rowOff>0</xdr:rowOff>
    </xdr:from>
    <xdr:to>
      <xdr:col>63</xdr:col>
      <xdr:colOff>762000</xdr:colOff>
      <xdr:row>48</xdr:row>
      <xdr:rowOff>0</xdr:rowOff>
    </xdr:to>
    <xdr:sp macro="" textlink="">
      <xdr:nvSpPr>
        <xdr:cNvPr id="9" name="Line 51"/>
        <xdr:cNvSpPr>
          <a:spLocks noChangeShapeType="1"/>
        </xdr:cNvSpPr>
      </xdr:nvSpPr>
      <xdr:spPr bwMode="auto">
        <a:xfrm>
          <a:off x="47424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71</xdr:col>
      <xdr:colOff>314325</xdr:colOff>
      <xdr:row>48</xdr:row>
      <xdr:rowOff>0</xdr:rowOff>
    </xdr:from>
    <xdr:to>
      <xdr:col>71</xdr:col>
      <xdr:colOff>762000</xdr:colOff>
      <xdr:row>48</xdr:row>
      <xdr:rowOff>0</xdr:rowOff>
    </xdr:to>
    <xdr:sp macro="" textlink="">
      <xdr:nvSpPr>
        <xdr:cNvPr id="10" name="Line 52"/>
        <xdr:cNvSpPr>
          <a:spLocks noChangeShapeType="1"/>
        </xdr:cNvSpPr>
      </xdr:nvSpPr>
      <xdr:spPr bwMode="auto">
        <a:xfrm>
          <a:off x="53520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79</xdr:col>
      <xdr:colOff>314325</xdr:colOff>
      <xdr:row>48</xdr:row>
      <xdr:rowOff>0</xdr:rowOff>
    </xdr:from>
    <xdr:to>
      <xdr:col>79</xdr:col>
      <xdr:colOff>762000</xdr:colOff>
      <xdr:row>48</xdr:row>
      <xdr:rowOff>0</xdr:rowOff>
    </xdr:to>
    <xdr:sp macro="" textlink="">
      <xdr:nvSpPr>
        <xdr:cNvPr id="11" name="Line 53"/>
        <xdr:cNvSpPr>
          <a:spLocks noChangeShapeType="1"/>
        </xdr:cNvSpPr>
      </xdr:nvSpPr>
      <xdr:spPr bwMode="auto">
        <a:xfrm>
          <a:off x="59616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87</xdr:col>
      <xdr:colOff>314325</xdr:colOff>
      <xdr:row>48</xdr:row>
      <xdr:rowOff>0</xdr:rowOff>
    </xdr:from>
    <xdr:to>
      <xdr:col>87</xdr:col>
      <xdr:colOff>762000</xdr:colOff>
      <xdr:row>48</xdr:row>
      <xdr:rowOff>0</xdr:rowOff>
    </xdr:to>
    <xdr:sp macro="" textlink="">
      <xdr:nvSpPr>
        <xdr:cNvPr id="12" name="Line 54"/>
        <xdr:cNvSpPr>
          <a:spLocks noChangeShapeType="1"/>
        </xdr:cNvSpPr>
      </xdr:nvSpPr>
      <xdr:spPr bwMode="auto">
        <a:xfrm>
          <a:off x="65712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95</xdr:col>
      <xdr:colOff>314325</xdr:colOff>
      <xdr:row>48</xdr:row>
      <xdr:rowOff>0</xdr:rowOff>
    </xdr:from>
    <xdr:to>
      <xdr:col>95</xdr:col>
      <xdr:colOff>762000</xdr:colOff>
      <xdr:row>48</xdr:row>
      <xdr:rowOff>0</xdr:rowOff>
    </xdr:to>
    <xdr:sp macro="" textlink="">
      <xdr:nvSpPr>
        <xdr:cNvPr id="13" name="Line 55"/>
        <xdr:cNvSpPr>
          <a:spLocks noChangeShapeType="1"/>
        </xdr:cNvSpPr>
      </xdr:nvSpPr>
      <xdr:spPr bwMode="auto">
        <a:xfrm>
          <a:off x="71808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103</xdr:col>
      <xdr:colOff>314325</xdr:colOff>
      <xdr:row>48</xdr:row>
      <xdr:rowOff>0</xdr:rowOff>
    </xdr:from>
    <xdr:to>
      <xdr:col>103</xdr:col>
      <xdr:colOff>762000</xdr:colOff>
      <xdr:row>48</xdr:row>
      <xdr:rowOff>0</xdr:rowOff>
    </xdr:to>
    <xdr:sp macro="" textlink="">
      <xdr:nvSpPr>
        <xdr:cNvPr id="14" name="Line 56"/>
        <xdr:cNvSpPr>
          <a:spLocks noChangeShapeType="1"/>
        </xdr:cNvSpPr>
      </xdr:nvSpPr>
      <xdr:spPr bwMode="auto">
        <a:xfrm>
          <a:off x="77904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111</xdr:col>
      <xdr:colOff>314325</xdr:colOff>
      <xdr:row>48</xdr:row>
      <xdr:rowOff>0</xdr:rowOff>
    </xdr:from>
    <xdr:to>
      <xdr:col>111</xdr:col>
      <xdr:colOff>762000</xdr:colOff>
      <xdr:row>48</xdr:row>
      <xdr:rowOff>0</xdr:rowOff>
    </xdr:to>
    <xdr:sp macro="" textlink="">
      <xdr:nvSpPr>
        <xdr:cNvPr id="15" name="Line 57"/>
        <xdr:cNvSpPr>
          <a:spLocks noChangeShapeType="1"/>
        </xdr:cNvSpPr>
      </xdr:nvSpPr>
      <xdr:spPr bwMode="auto">
        <a:xfrm>
          <a:off x="84000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119</xdr:col>
      <xdr:colOff>314325</xdr:colOff>
      <xdr:row>48</xdr:row>
      <xdr:rowOff>0</xdr:rowOff>
    </xdr:from>
    <xdr:to>
      <xdr:col>119</xdr:col>
      <xdr:colOff>762000</xdr:colOff>
      <xdr:row>48</xdr:row>
      <xdr:rowOff>0</xdr:rowOff>
    </xdr:to>
    <xdr:sp macro="" textlink="">
      <xdr:nvSpPr>
        <xdr:cNvPr id="16" name="Line 58"/>
        <xdr:cNvSpPr>
          <a:spLocks noChangeShapeType="1"/>
        </xdr:cNvSpPr>
      </xdr:nvSpPr>
      <xdr:spPr bwMode="auto">
        <a:xfrm>
          <a:off x="90096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127</xdr:col>
      <xdr:colOff>314325</xdr:colOff>
      <xdr:row>48</xdr:row>
      <xdr:rowOff>0</xdr:rowOff>
    </xdr:from>
    <xdr:to>
      <xdr:col>127</xdr:col>
      <xdr:colOff>762000</xdr:colOff>
      <xdr:row>48</xdr:row>
      <xdr:rowOff>0</xdr:rowOff>
    </xdr:to>
    <xdr:sp macro="" textlink="">
      <xdr:nvSpPr>
        <xdr:cNvPr id="17" name="Line 59"/>
        <xdr:cNvSpPr>
          <a:spLocks noChangeShapeType="1"/>
        </xdr:cNvSpPr>
      </xdr:nvSpPr>
      <xdr:spPr bwMode="auto">
        <a:xfrm>
          <a:off x="96192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135</xdr:col>
      <xdr:colOff>314325</xdr:colOff>
      <xdr:row>48</xdr:row>
      <xdr:rowOff>0</xdr:rowOff>
    </xdr:from>
    <xdr:to>
      <xdr:col>135</xdr:col>
      <xdr:colOff>762000</xdr:colOff>
      <xdr:row>48</xdr:row>
      <xdr:rowOff>0</xdr:rowOff>
    </xdr:to>
    <xdr:sp macro="" textlink="">
      <xdr:nvSpPr>
        <xdr:cNvPr id="18" name="Line 60"/>
        <xdr:cNvSpPr>
          <a:spLocks noChangeShapeType="1"/>
        </xdr:cNvSpPr>
      </xdr:nvSpPr>
      <xdr:spPr bwMode="auto">
        <a:xfrm>
          <a:off x="102288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143</xdr:col>
      <xdr:colOff>314325</xdr:colOff>
      <xdr:row>48</xdr:row>
      <xdr:rowOff>0</xdr:rowOff>
    </xdr:from>
    <xdr:to>
      <xdr:col>143</xdr:col>
      <xdr:colOff>762000</xdr:colOff>
      <xdr:row>48</xdr:row>
      <xdr:rowOff>0</xdr:rowOff>
    </xdr:to>
    <xdr:sp macro="" textlink="">
      <xdr:nvSpPr>
        <xdr:cNvPr id="19" name="Line 61"/>
        <xdr:cNvSpPr>
          <a:spLocks noChangeShapeType="1"/>
        </xdr:cNvSpPr>
      </xdr:nvSpPr>
      <xdr:spPr bwMode="auto">
        <a:xfrm>
          <a:off x="108384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151</xdr:col>
      <xdr:colOff>314325</xdr:colOff>
      <xdr:row>48</xdr:row>
      <xdr:rowOff>0</xdr:rowOff>
    </xdr:from>
    <xdr:to>
      <xdr:col>151</xdr:col>
      <xdr:colOff>762000</xdr:colOff>
      <xdr:row>48</xdr:row>
      <xdr:rowOff>0</xdr:rowOff>
    </xdr:to>
    <xdr:sp macro="" textlink="">
      <xdr:nvSpPr>
        <xdr:cNvPr id="20" name="Line 62"/>
        <xdr:cNvSpPr>
          <a:spLocks noChangeShapeType="1"/>
        </xdr:cNvSpPr>
      </xdr:nvSpPr>
      <xdr:spPr bwMode="auto">
        <a:xfrm>
          <a:off x="114480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159</xdr:col>
      <xdr:colOff>314325</xdr:colOff>
      <xdr:row>48</xdr:row>
      <xdr:rowOff>0</xdr:rowOff>
    </xdr:from>
    <xdr:to>
      <xdr:col>159</xdr:col>
      <xdr:colOff>762000</xdr:colOff>
      <xdr:row>48</xdr:row>
      <xdr:rowOff>0</xdr:rowOff>
    </xdr:to>
    <xdr:sp macro="" textlink="">
      <xdr:nvSpPr>
        <xdr:cNvPr id="21" name="Line 63"/>
        <xdr:cNvSpPr>
          <a:spLocks noChangeShapeType="1"/>
        </xdr:cNvSpPr>
      </xdr:nvSpPr>
      <xdr:spPr bwMode="auto">
        <a:xfrm>
          <a:off x="120576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167</xdr:col>
      <xdr:colOff>314325</xdr:colOff>
      <xdr:row>48</xdr:row>
      <xdr:rowOff>0</xdr:rowOff>
    </xdr:from>
    <xdr:to>
      <xdr:col>167</xdr:col>
      <xdr:colOff>762000</xdr:colOff>
      <xdr:row>48</xdr:row>
      <xdr:rowOff>0</xdr:rowOff>
    </xdr:to>
    <xdr:sp macro="" textlink="">
      <xdr:nvSpPr>
        <xdr:cNvPr id="22" name="Line 64"/>
        <xdr:cNvSpPr>
          <a:spLocks noChangeShapeType="1"/>
        </xdr:cNvSpPr>
      </xdr:nvSpPr>
      <xdr:spPr bwMode="auto">
        <a:xfrm>
          <a:off x="126672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175</xdr:col>
      <xdr:colOff>314325</xdr:colOff>
      <xdr:row>48</xdr:row>
      <xdr:rowOff>0</xdr:rowOff>
    </xdr:from>
    <xdr:to>
      <xdr:col>175</xdr:col>
      <xdr:colOff>762000</xdr:colOff>
      <xdr:row>48</xdr:row>
      <xdr:rowOff>0</xdr:rowOff>
    </xdr:to>
    <xdr:sp macro="" textlink="">
      <xdr:nvSpPr>
        <xdr:cNvPr id="23" name="Line 65"/>
        <xdr:cNvSpPr>
          <a:spLocks noChangeShapeType="1"/>
        </xdr:cNvSpPr>
      </xdr:nvSpPr>
      <xdr:spPr bwMode="auto">
        <a:xfrm>
          <a:off x="132768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183</xdr:col>
      <xdr:colOff>314325</xdr:colOff>
      <xdr:row>48</xdr:row>
      <xdr:rowOff>0</xdr:rowOff>
    </xdr:from>
    <xdr:to>
      <xdr:col>183</xdr:col>
      <xdr:colOff>762000</xdr:colOff>
      <xdr:row>48</xdr:row>
      <xdr:rowOff>0</xdr:rowOff>
    </xdr:to>
    <xdr:sp macro="" textlink="">
      <xdr:nvSpPr>
        <xdr:cNvPr id="24" name="Line 66"/>
        <xdr:cNvSpPr>
          <a:spLocks noChangeShapeType="1"/>
        </xdr:cNvSpPr>
      </xdr:nvSpPr>
      <xdr:spPr bwMode="auto">
        <a:xfrm>
          <a:off x="138864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191</xdr:col>
      <xdr:colOff>314325</xdr:colOff>
      <xdr:row>48</xdr:row>
      <xdr:rowOff>0</xdr:rowOff>
    </xdr:from>
    <xdr:to>
      <xdr:col>191</xdr:col>
      <xdr:colOff>762000</xdr:colOff>
      <xdr:row>48</xdr:row>
      <xdr:rowOff>0</xdr:rowOff>
    </xdr:to>
    <xdr:sp macro="" textlink="">
      <xdr:nvSpPr>
        <xdr:cNvPr id="25" name="Line 67"/>
        <xdr:cNvSpPr>
          <a:spLocks noChangeShapeType="1"/>
        </xdr:cNvSpPr>
      </xdr:nvSpPr>
      <xdr:spPr bwMode="auto">
        <a:xfrm>
          <a:off x="144960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199</xdr:col>
      <xdr:colOff>314325</xdr:colOff>
      <xdr:row>48</xdr:row>
      <xdr:rowOff>0</xdr:rowOff>
    </xdr:from>
    <xdr:to>
      <xdr:col>199</xdr:col>
      <xdr:colOff>762000</xdr:colOff>
      <xdr:row>48</xdr:row>
      <xdr:rowOff>0</xdr:rowOff>
    </xdr:to>
    <xdr:sp macro="" textlink="">
      <xdr:nvSpPr>
        <xdr:cNvPr id="26" name="Line 68"/>
        <xdr:cNvSpPr>
          <a:spLocks noChangeShapeType="1"/>
        </xdr:cNvSpPr>
      </xdr:nvSpPr>
      <xdr:spPr bwMode="auto">
        <a:xfrm>
          <a:off x="151056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207</xdr:col>
      <xdr:colOff>314325</xdr:colOff>
      <xdr:row>48</xdr:row>
      <xdr:rowOff>0</xdr:rowOff>
    </xdr:from>
    <xdr:to>
      <xdr:col>207</xdr:col>
      <xdr:colOff>762000</xdr:colOff>
      <xdr:row>48</xdr:row>
      <xdr:rowOff>0</xdr:rowOff>
    </xdr:to>
    <xdr:sp macro="" textlink="">
      <xdr:nvSpPr>
        <xdr:cNvPr id="27" name="Line 69"/>
        <xdr:cNvSpPr>
          <a:spLocks noChangeShapeType="1"/>
        </xdr:cNvSpPr>
      </xdr:nvSpPr>
      <xdr:spPr bwMode="auto">
        <a:xfrm>
          <a:off x="157152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215</xdr:col>
      <xdr:colOff>314325</xdr:colOff>
      <xdr:row>48</xdr:row>
      <xdr:rowOff>0</xdr:rowOff>
    </xdr:from>
    <xdr:to>
      <xdr:col>215</xdr:col>
      <xdr:colOff>762000</xdr:colOff>
      <xdr:row>48</xdr:row>
      <xdr:rowOff>0</xdr:rowOff>
    </xdr:to>
    <xdr:sp macro="" textlink="">
      <xdr:nvSpPr>
        <xdr:cNvPr id="28" name="Line 70"/>
        <xdr:cNvSpPr>
          <a:spLocks noChangeShapeType="1"/>
        </xdr:cNvSpPr>
      </xdr:nvSpPr>
      <xdr:spPr bwMode="auto">
        <a:xfrm>
          <a:off x="163248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223</xdr:col>
      <xdr:colOff>314325</xdr:colOff>
      <xdr:row>48</xdr:row>
      <xdr:rowOff>0</xdr:rowOff>
    </xdr:from>
    <xdr:to>
      <xdr:col>223</xdr:col>
      <xdr:colOff>762000</xdr:colOff>
      <xdr:row>48</xdr:row>
      <xdr:rowOff>0</xdr:rowOff>
    </xdr:to>
    <xdr:sp macro="" textlink="">
      <xdr:nvSpPr>
        <xdr:cNvPr id="29" name="Line 71"/>
        <xdr:cNvSpPr>
          <a:spLocks noChangeShapeType="1"/>
        </xdr:cNvSpPr>
      </xdr:nvSpPr>
      <xdr:spPr bwMode="auto">
        <a:xfrm>
          <a:off x="169344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231</xdr:col>
      <xdr:colOff>314325</xdr:colOff>
      <xdr:row>48</xdr:row>
      <xdr:rowOff>0</xdr:rowOff>
    </xdr:from>
    <xdr:to>
      <xdr:col>231</xdr:col>
      <xdr:colOff>762000</xdr:colOff>
      <xdr:row>48</xdr:row>
      <xdr:rowOff>0</xdr:rowOff>
    </xdr:to>
    <xdr:sp macro="" textlink="">
      <xdr:nvSpPr>
        <xdr:cNvPr id="30" name="Line 72"/>
        <xdr:cNvSpPr>
          <a:spLocks noChangeShapeType="1"/>
        </xdr:cNvSpPr>
      </xdr:nvSpPr>
      <xdr:spPr bwMode="auto">
        <a:xfrm>
          <a:off x="175440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239</xdr:col>
      <xdr:colOff>314325</xdr:colOff>
      <xdr:row>48</xdr:row>
      <xdr:rowOff>0</xdr:rowOff>
    </xdr:from>
    <xdr:to>
      <xdr:col>239</xdr:col>
      <xdr:colOff>762000</xdr:colOff>
      <xdr:row>48</xdr:row>
      <xdr:rowOff>0</xdr:rowOff>
    </xdr:to>
    <xdr:sp macro="" textlink="">
      <xdr:nvSpPr>
        <xdr:cNvPr id="31" name="Line 73"/>
        <xdr:cNvSpPr>
          <a:spLocks noChangeShapeType="1"/>
        </xdr:cNvSpPr>
      </xdr:nvSpPr>
      <xdr:spPr bwMode="auto">
        <a:xfrm>
          <a:off x="181536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247</xdr:col>
      <xdr:colOff>314325</xdr:colOff>
      <xdr:row>48</xdr:row>
      <xdr:rowOff>0</xdr:rowOff>
    </xdr:from>
    <xdr:to>
      <xdr:col>247</xdr:col>
      <xdr:colOff>762000</xdr:colOff>
      <xdr:row>48</xdr:row>
      <xdr:rowOff>0</xdr:rowOff>
    </xdr:to>
    <xdr:sp macro="" textlink="">
      <xdr:nvSpPr>
        <xdr:cNvPr id="32" name="Line 74"/>
        <xdr:cNvSpPr>
          <a:spLocks noChangeShapeType="1"/>
        </xdr:cNvSpPr>
      </xdr:nvSpPr>
      <xdr:spPr bwMode="auto">
        <a:xfrm>
          <a:off x="187632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255</xdr:col>
      <xdr:colOff>314325</xdr:colOff>
      <xdr:row>48</xdr:row>
      <xdr:rowOff>0</xdr:rowOff>
    </xdr:from>
    <xdr:to>
      <xdr:col>255</xdr:col>
      <xdr:colOff>762000</xdr:colOff>
      <xdr:row>48</xdr:row>
      <xdr:rowOff>0</xdr:rowOff>
    </xdr:to>
    <xdr:sp macro="" textlink="">
      <xdr:nvSpPr>
        <xdr:cNvPr id="33" name="Line 75"/>
        <xdr:cNvSpPr>
          <a:spLocks noChangeShapeType="1"/>
        </xdr:cNvSpPr>
      </xdr:nvSpPr>
      <xdr:spPr bwMode="auto">
        <a:xfrm>
          <a:off x="193728975" y="8801100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209550</xdr:colOff>
      <xdr:row>56</xdr:row>
      <xdr:rowOff>38100</xdr:rowOff>
    </xdr:from>
    <xdr:to>
      <xdr:col>6</xdr:col>
      <xdr:colOff>390525</xdr:colOff>
      <xdr:row>62</xdr:row>
      <xdr:rowOff>76200</xdr:rowOff>
    </xdr:to>
    <xdr:sp macro="" textlink="">
      <xdr:nvSpPr>
        <xdr:cNvPr id="34" name="Text Box 15"/>
        <xdr:cNvSpPr txBox="1">
          <a:spLocks noChangeArrowheads="1"/>
        </xdr:cNvSpPr>
      </xdr:nvSpPr>
      <xdr:spPr bwMode="auto">
        <a:xfrm>
          <a:off x="2028825" y="9772650"/>
          <a:ext cx="1590675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de-CH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Jauslin Stebler AG</a:t>
          </a:r>
        </a:p>
        <a:p>
          <a:pPr algn="l" rtl="0">
            <a:defRPr sz="1000"/>
          </a:pPr>
          <a:r>
            <a:rPr lang="de-CH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Gartenstrasse 15,</a:t>
          </a:r>
        </a:p>
        <a:p>
          <a:pPr algn="l" rtl="0">
            <a:defRPr sz="1000"/>
          </a:pPr>
          <a:r>
            <a:rPr lang="de-CH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4132 Muttenz</a:t>
          </a:r>
        </a:p>
        <a:p>
          <a:pPr algn="l" rtl="0">
            <a:defRPr sz="1000"/>
          </a:pPr>
          <a:r>
            <a:rPr lang="de-CH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Telefon 061 467 67 67</a:t>
          </a:r>
        </a:p>
        <a:p>
          <a:pPr algn="l" rtl="0">
            <a:defRPr sz="1000"/>
          </a:pPr>
          <a:r>
            <a:rPr lang="de-CH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E-Mail: info@jauslinstebler.ch  </a:t>
          </a:r>
        </a:p>
        <a:p>
          <a:pPr algn="l" rtl="0">
            <a:defRPr sz="1000"/>
          </a:pPr>
          <a:r>
            <a:rPr lang="de-CH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www.jauslinstebler.ch</a:t>
          </a:r>
          <a:endParaRPr lang="de-CH"/>
        </a:p>
      </xdr:txBody>
    </xdr:sp>
    <xdr:clientData/>
  </xdr:twoCellAnchor>
  <xdr:twoCellAnchor>
    <xdr:from>
      <xdr:col>6</xdr:col>
      <xdr:colOff>542925</xdr:colOff>
      <xdr:row>56</xdr:row>
      <xdr:rowOff>9525</xdr:rowOff>
    </xdr:from>
    <xdr:to>
      <xdr:col>8</xdr:col>
      <xdr:colOff>885825</xdr:colOff>
      <xdr:row>62</xdr:row>
      <xdr:rowOff>47625</xdr:rowOff>
    </xdr:to>
    <xdr:sp macro="" textlink="">
      <xdr:nvSpPr>
        <xdr:cNvPr id="35" name="Text Box 15"/>
        <xdr:cNvSpPr txBox="1">
          <a:spLocks noChangeArrowheads="1"/>
        </xdr:cNvSpPr>
      </xdr:nvSpPr>
      <xdr:spPr bwMode="auto">
        <a:xfrm>
          <a:off x="3771900" y="9744075"/>
          <a:ext cx="1943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de-CH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Leipert AG</a:t>
          </a:r>
        </a:p>
        <a:p>
          <a:pPr algn="l" rtl="0">
            <a:defRPr sz="1000"/>
          </a:pPr>
          <a:r>
            <a:rPr lang="de-CH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Friedlisbergstrasse 244,</a:t>
          </a:r>
        </a:p>
        <a:p>
          <a:pPr algn="l" rtl="0">
            <a:defRPr sz="1000"/>
          </a:pPr>
          <a:r>
            <a:rPr lang="de-CH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8964 Rudolfstetten</a:t>
          </a:r>
        </a:p>
        <a:p>
          <a:pPr algn="l" rtl="0">
            <a:defRPr sz="1000"/>
          </a:pPr>
          <a:r>
            <a:rPr lang="de-CH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Telefon 056 641 14 41</a:t>
          </a:r>
        </a:p>
        <a:p>
          <a:pPr algn="l" rtl="0">
            <a:defRPr sz="1000"/>
          </a:pPr>
          <a:r>
            <a:rPr lang="de-CH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E-Mail: markus.leipert@leipert.ch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38100</xdr:rowOff>
        </xdr:from>
        <xdr:to>
          <xdr:col>9</xdr:col>
          <xdr:colOff>342900</xdr:colOff>
          <xdr:row>3</xdr:row>
          <xdr:rowOff>152400</xdr:rowOff>
        </xdr:to>
        <xdr:sp macro="" textlink="">
          <xdr:nvSpPr>
            <xdr:cNvPr id="59394" name="Object 2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120</xdr:row>
          <xdr:rowOff>152400</xdr:rowOff>
        </xdr:from>
        <xdr:to>
          <xdr:col>3</xdr:col>
          <xdr:colOff>238125</xdr:colOff>
          <xdr:row>122</xdr:row>
          <xdr:rowOff>133350</xdr:rowOff>
        </xdr:to>
        <xdr:sp macro="" textlink="">
          <xdr:nvSpPr>
            <xdr:cNvPr id="45057" name="Bild 14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97</xdr:row>
          <xdr:rowOff>28575</xdr:rowOff>
        </xdr:from>
        <xdr:to>
          <xdr:col>6</xdr:col>
          <xdr:colOff>790575</xdr:colOff>
          <xdr:row>98</xdr:row>
          <xdr:rowOff>152400</xdr:rowOff>
        </xdr:to>
        <xdr:sp macro="" textlink="">
          <xdr:nvSpPr>
            <xdr:cNvPr id="46081" name="Bild 14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85725</xdr:rowOff>
        </xdr:from>
        <xdr:to>
          <xdr:col>0</xdr:col>
          <xdr:colOff>1085850</xdr:colOff>
          <xdr:row>0</xdr:row>
          <xdr:rowOff>352425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Stempeldruck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85725</xdr:rowOff>
        </xdr:from>
        <xdr:to>
          <xdr:col>0</xdr:col>
          <xdr:colOff>1085850</xdr:colOff>
          <xdr:row>0</xdr:row>
          <xdr:rowOff>352425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Stempeldruck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6</xdr:col>
      <xdr:colOff>833805</xdr:colOff>
      <xdr:row>0</xdr:row>
      <xdr:rowOff>1469160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5701080" cy="146916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97</xdr:row>
          <xdr:rowOff>28575</xdr:rowOff>
        </xdr:from>
        <xdr:to>
          <xdr:col>6</xdr:col>
          <xdr:colOff>790575</xdr:colOff>
          <xdr:row>98</xdr:row>
          <xdr:rowOff>152400</xdr:rowOff>
        </xdr:to>
        <xdr:sp macro="" textlink="">
          <xdr:nvSpPr>
            <xdr:cNvPr id="50177" name="Bild 14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85725</xdr:rowOff>
        </xdr:from>
        <xdr:to>
          <xdr:col>0</xdr:col>
          <xdr:colOff>1085850</xdr:colOff>
          <xdr:row>0</xdr:row>
          <xdr:rowOff>352425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Stempeldruck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85725</xdr:rowOff>
        </xdr:from>
        <xdr:to>
          <xdr:col>0</xdr:col>
          <xdr:colOff>1085850</xdr:colOff>
          <xdr:row>0</xdr:row>
          <xdr:rowOff>352425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Stempeldruck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6</xdr:col>
      <xdr:colOff>833805</xdr:colOff>
      <xdr:row>0</xdr:row>
      <xdr:rowOff>1469160</xdr:rowOff>
    </xdr:to>
    <xdr:pic>
      <xdr:nvPicPr>
        <xdr:cNvPr id="5" name="Grafik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5701080" cy="146916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97</xdr:row>
          <xdr:rowOff>28575</xdr:rowOff>
        </xdr:from>
        <xdr:to>
          <xdr:col>6</xdr:col>
          <xdr:colOff>790575</xdr:colOff>
          <xdr:row>98</xdr:row>
          <xdr:rowOff>152400</xdr:rowOff>
        </xdr:to>
        <xdr:sp macro="" textlink="">
          <xdr:nvSpPr>
            <xdr:cNvPr id="49153" name="Bild 14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85725</xdr:rowOff>
        </xdr:from>
        <xdr:to>
          <xdr:col>0</xdr:col>
          <xdr:colOff>1085850</xdr:colOff>
          <xdr:row>0</xdr:row>
          <xdr:rowOff>352425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Stempeldruck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85725</xdr:rowOff>
        </xdr:from>
        <xdr:to>
          <xdr:col>0</xdr:col>
          <xdr:colOff>1085850</xdr:colOff>
          <xdr:row>0</xdr:row>
          <xdr:rowOff>352425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Stempeldruck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98</xdr:row>
          <xdr:rowOff>0</xdr:rowOff>
        </xdr:from>
        <xdr:to>
          <xdr:col>6</xdr:col>
          <xdr:colOff>790575</xdr:colOff>
          <xdr:row>99</xdr:row>
          <xdr:rowOff>123825</xdr:rowOff>
        </xdr:to>
        <xdr:sp macro="" textlink="">
          <xdr:nvSpPr>
            <xdr:cNvPr id="67585" name="Bild 14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85725</xdr:rowOff>
        </xdr:from>
        <xdr:to>
          <xdr:col>0</xdr:col>
          <xdr:colOff>1085850</xdr:colOff>
          <xdr:row>0</xdr:row>
          <xdr:rowOff>352425</xdr:rowOff>
        </xdr:to>
        <xdr:sp macro="" textlink="">
          <xdr:nvSpPr>
            <xdr:cNvPr id="67586" name="Button 2" hidden="1">
              <a:extLst>
                <a:ext uri="{63B3BB69-23CF-44E3-9099-C40C66FF867C}">
                  <a14:compatExt spid="_x0000_s67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Stempeldruck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8005%20F_&amp;_R/300%20Fakturierung/RECHNUNGEN/2019/9600%20-%209699/9669_Shd_M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chnungen_20181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8005%20F_&amp;_R/300%20Fakturierung/RECHNUNGEN/2018/9800%20-%209899/9888_Chi_BBr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8005%20F_&amp;_R/300%20Fakturierung/RECHNUNGEN/2023/10600%20-%2010699/10616_ChS_MN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DB Dienstleistungen"/>
      <sheetName val="Dropdowns"/>
      <sheetName val="Projektstruktur"/>
      <sheetName val="Projektdaten"/>
    </sheetNames>
    <sheetDataSet>
      <sheetData sheetId="0" refreshError="1"/>
      <sheetData sheetId="1">
        <row r="4">
          <cell r="B4" t="str">
            <v>Auswahl</v>
          </cell>
          <cell r="G4" t="str">
            <v>Auswahl</v>
          </cell>
          <cell r="H4" t="str">
            <v>Office fédéral des routes (OFROU)
Filiale d'Estavayer-le-Lac
Place de la Gare 7
1470 Estavayer-le-Lac</v>
          </cell>
          <cell r="I4" t="str">
            <v xml:space="preserve">Bundesamt für Strassen (ASTRA)
Filiale Thun
Uttigenstrasse 54
3600 Thun  </v>
          </cell>
          <cell r="J4" t="str">
            <v xml:space="preserve">Bundesamt für Strassen (ASTRA)
Filiale Zofingen
Brühlstrasse 3
4800 Zofingen </v>
          </cell>
          <cell r="K4" t="str">
            <v xml:space="preserve">Bundesamt für Strassen (ASTRA)
Filiale Winterthur
Grüzefeldstrasse 41
8404 Winterthur  </v>
          </cell>
          <cell r="L4" t="str">
            <v xml:space="preserve">Ufficio federale delle strade (USTRA)
Filiale Bellinzona
Via C. Pellandini 2
6500 Bellinzona </v>
          </cell>
        </row>
        <row r="5">
          <cell r="B5" t="str">
            <v>Einnahme</v>
          </cell>
          <cell r="F5" t="str">
            <v>1.2100</v>
          </cell>
        </row>
        <row r="6">
          <cell r="B6" t="str">
            <v>Honorar usw.</v>
          </cell>
          <cell r="F6" t="str">
            <v>1.2200</v>
          </cell>
        </row>
        <row r="7">
          <cell r="B7" t="str">
            <v>Ausmass</v>
          </cell>
          <cell r="F7" t="str">
            <v>1.2300</v>
          </cell>
          <cell r="H7" t="str">
            <v>Auswahl</v>
          </cell>
        </row>
        <row r="8">
          <cell r="B8" t="str">
            <v>Regie</v>
          </cell>
          <cell r="F8" t="str">
            <v>1.2400</v>
          </cell>
          <cell r="H8" t="str">
            <v>Teilrechnung</v>
          </cell>
        </row>
        <row r="9">
          <cell r="B9" t="str">
            <v>Teuerung</v>
          </cell>
          <cell r="F9" t="str">
            <v>1.2500</v>
          </cell>
          <cell r="H9" t="str">
            <v>Rückbehaltszlg</v>
          </cell>
        </row>
        <row r="10">
          <cell r="B10" t="str">
            <v>Nebenkosten</v>
          </cell>
          <cell r="F10" t="str">
            <v>1.2600</v>
          </cell>
          <cell r="H10" t="str">
            <v>Schlussrechnung</v>
          </cell>
        </row>
        <row r="11">
          <cell r="F11" t="str">
            <v>1.2700</v>
          </cell>
        </row>
        <row r="12">
          <cell r="F12" t="str">
            <v>1.2800</v>
          </cell>
        </row>
        <row r="13">
          <cell r="F13" t="str">
            <v>1.2900</v>
          </cell>
          <cell r="I13" t="str">
            <v>Auswahl</v>
          </cell>
        </row>
        <row r="14">
          <cell r="F14" t="str">
            <v>1.2950</v>
          </cell>
          <cell r="I14">
            <v>0</v>
          </cell>
        </row>
        <row r="15">
          <cell r="B15" t="str">
            <v>Auswahl</v>
          </cell>
          <cell r="F15" t="str">
            <v>1.3100</v>
          </cell>
          <cell r="I15" t="str">
            <v>30 Tage</v>
          </cell>
        </row>
        <row r="16">
          <cell r="B16" t="str">
            <v>A</v>
          </cell>
          <cell r="F16" t="str">
            <v>1.3200</v>
          </cell>
          <cell r="I16" t="str">
            <v>45 Tage</v>
          </cell>
        </row>
        <row r="17">
          <cell r="B17" t="str">
            <v>U</v>
          </cell>
          <cell r="F17" t="str">
            <v>1.3300</v>
          </cell>
          <cell r="I17" t="str">
            <v>60 Tage</v>
          </cell>
        </row>
        <row r="18">
          <cell r="B18" t="str">
            <v>E</v>
          </cell>
          <cell r="F18" t="str">
            <v>1.3400</v>
          </cell>
          <cell r="I18" t="str">
            <v>__ Tage</v>
          </cell>
        </row>
        <row r="19">
          <cell r="B19" t="str">
            <v>Energie</v>
          </cell>
          <cell r="F19" t="str">
            <v>1.3950</v>
          </cell>
        </row>
        <row r="20">
          <cell r="B20" t="str">
            <v>B</v>
          </cell>
          <cell r="F20" t="str">
            <v>1.5910</v>
          </cell>
        </row>
        <row r="21">
          <cell r="F21" t="str">
            <v>1.7100</v>
          </cell>
        </row>
        <row r="22">
          <cell r="F22" t="str">
            <v>1.7200</v>
          </cell>
        </row>
        <row r="23">
          <cell r="F23" t="str">
            <v>1.7700</v>
          </cell>
        </row>
        <row r="24">
          <cell r="F24" t="str">
            <v>1.7800</v>
          </cell>
        </row>
        <row r="25">
          <cell r="F25" t="str">
            <v>1.9100</v>
          </cell>
        </row>
        <row r="26">
          <cell r="F26" t="str">
            <v>1.9200</v>
          </cell>
        </row>
        <row r="27">
          <cell r="F27" t="str">
            <v>1.9300</v>
          </cell>
        </row>
        <row r="28">
          <cell r="F28" t="str">
            <v>1.9350</v>
          </cell>
        </row>
        <row r="29">
          <cell r="F29" t="str">
            <v>2.2200</v>
          </cell>
        </row>
        <row r="30">
          <cell r="F30" t="str">
            <v>2.2500</v>
          </cell>
        </row>
        <row r="31">
          <cell r="F31" t="str">
            <v>2.2950</v>
          </cell>
        </row>
        <row r="32">
          <cell r="F32" t="str">
            <v>2.4100</v>
          </cell>
        </row>
        <row r="33">
          <cell r="F33" t="str">
            <v>2.4200</v>
          </cell>
        </row>
        <row r="34">
          <cell r="F34" t="str">
            <v>2.4300</v>
          </cell>
        </row>
        <row r="35">
          <cell r="F35" t="str">
            <v>2.4400</v>
          </cell>
        </row>
        <row r="36">
          <cell r="F36" t="str">
            <v>2.4701</v>
          </cell>
        </row>
        <row r="37">
          <cell r="F37" t="str">
            <v>2.4702</v>
          </cell>
        </row>
        <row r="38">
          <cell r="F38" t="str">
            <v>2.4703</v>
          </cell>
        </row>
        <row r="39">
          <cell r="F39" t="str">
            <v>2.4704</v>
          </cell>
        </row>
        <row r="40">
          <cell r="F40" t="str">
            <v>2.4800</v>
          </cell>
        </row>
        <row r="41">
          <cell r="F41" t="str">
            <v>2.7100</v>
          </cell>
        </row>
        <row r="42">
          <cell r="F42" t="str">
            <v>2.7200</v>
          </cell>
        </row>
        <row r="43">
          <cell r="F43" t="str">
            <v>2.9400</v>
          </cell>
        </row>
        <row r="44">
          <cell r="F44" t="str">
            <v>2.9500</v>
          </cell>
        </row>
        <row r="45">
          <cell r="F45" t="str">
            <v>2.9550</v>
          </cell>
        </row>
        <row r="46">
          <cell r="F46" t="str">
            <v>2.9600</v>
          </cell>
        </row>
        <row r="47">
          <cell r="F47" t="str">
            <v>3.5010</v>
          </cell>
        </row>
        <row r="48">
          <cell r="F48" t="str">
            <v>3.5020</v>
          </cell>
        </row>
        <row r="49">
          <cell r="F49" t="str">
            <v>3.5030</v>
          </cell>
        </row>
        <row r="50">
          <cell r="F50" t="str">
            <v>3.5100</v>
          </cell>
        </row>
        <row r="51">
          <cell r="F51" t="str">
            <v>3.5200</v>
          </cell>
        </row>
        <row r="52">
          <cell r="F52" t="str">
            <v>3.5300</v>
          </cell>
        </row>
        <row r="53">
          <cell r="F53" t="str">
            <v>3.5400</v>
          </cell>
        </row>
        <row r="54">
          <cell r="F54" t="str">
            <v>3.5500</v>
          </cell>
        </row>
        <row r="55">
          <cell r="F55" t="str">
            <v>3.5600</v>
          </cell>
        </row>
        <row r="56">
          <cell r="F56" t="str">
            <v>3.5705</v>
          </cell>
        </row>
        <row r="57">
          <cell r="F57" t="str">
            <v>3.5710</v>
          </cell>
        </row>
        <row r="58">
          <cell r="F58" t="str">
            <v>3.5720</v>
          </cell>
        </row>
        <row r="59">
          <cell r="F59" t="str">
            <v>3.5730</v>
          </cell>
        </row>
        <row r="60">
          <cell r="F60" t="str">
            <v>3.5740</v>
          </cell>
        </row>
        <row r="61">
          <cell r="F61" t="str">
            <v>3.5745</v>
          </cell>
        </row>
        <row r="62">
          <cell r="F62" t="str">
            <v>3.5750</v>
          </cell>
        </row>
        <row r="63">
          <cell r="F63" t="str">
            <v>3.5754</v>
          </cell>
        </row>
        <row r="64">
          <cell r="F64" t="str">
            <v>3.5755</v>
          </cell>
        </row>
        <row r="65">
          <cell r="F65" t="str">
            <v>3.5765</v>
          </cell>
        </row>
        <row r="66">
          <cell r="F66" t="str">
            <v>3.5770</v>
          </cell>
        </row>
        <row r="67">
          <cell r="F67" t="str">
            <v>3.5800</v>
          </cell>
        </row>
        <row r="68">
          <cell r="F68" t="str">
            <v>3.5810</v>
          </cell>
        </row>
        <row r="69">
          <cell r="F69" t="str">
            <v>3.5900</v>
          </cell>
        </row>
        <row r="70">
          <cell r="F70" t="str">
            <v>3.5910</v>
          </cell>
        </row>
        <row r="71">
          <cell r="F71" t="str">
            <v>3.5950</v>
          </cell>
        </row>
        <row r="72">
          <cell r="F72" t="str">
            <v>3.7100</v>
          </cell>
        </row>
        <row r="73">
          <cell r="F73" t="str">
            <v>3.7200</v>
          </cell>
        </row>
        <row r="74">
          <cell r="F74" t="str">
            <v>3.7800</v>
          </cell>
        </row>
        <row r="75">
          <cell r="F75" t="str">
            <v>3.8101</v>
          </cell>
        </row>
        <row r="76">
          <cell r="F76" t="str">
            <v>3.8110</v>
          </cell>
        </row>
        <row r="77">
          <cell r="F77" t="str">
            <v>3.8120</v>
          </cell>
        </row>
        <row r="78">
          <cell r="F78" t="str">
            <v>3.8130</v>
          </cell>
        </row>
        <row r="79">
          <cell r="F79" t="str">
            <v>3.8140</v>
          </cell>
        </row>
        <row r="80">
          <cell r="F80" t="str">
            <v>3.8150</v>
          </cell>
        </row>
        <row r="81">
          <cell r="F81" t="str">
            <v>3.8160</v>
          </cell>
        </row>
        <row r="82">
          <cell r="F82" t="str">
            <v>3.8170</v>
          </cell>
        </row>
        <row r="83">
          <cell r="F83" t="str">
            <v>3.8180</v>
          </cell>
        </row>
        <row r="84">
          <cell r="F84" t="str">
            <v>3.8191</v>
          </cell>
        </row>
        <row r="85">
          <cell r="F85" t="str">
            <v>3.8192</v>
          </cell>
        </row>
        <row r="86">
          <cell r="F86" t="str">
            <v>3.8193</v>
          </cell>
        </row>
        <row r="87">
          <cell r="F87" t="str">
            <v>3.8210</v>
          </cell>
        </row>
        <row r="88">
          <cell r="F88" t="str">
            <v>3.8220</v>
          </cell>
        </row>
        <row r="89">
          <cell r="F89" t="str">
            <v>3.8230</v>
          </cell>
        </row>
        <row r="90">
          <cell r="F90" t="str">
            <v>3.8240</v>
          </cell>
        </row>
        <row r="91">
          <cell r="F91" t="str">
            <v>3.8250</v>
          </cell>
        </row>
        <row r="92">
          <cell r="F92" t="str">
            <v>3.8260</v>
          </cell>
        </row>
        <row r="93">
          <cell r="F93" t="str">
            <v>3.8270</v>
          </cell>
        </row>
        <row r="94">
          <cell r="F94" t="str">
            <v>3.8310</v>
          </cell>
        </row>
        <row r="95">
          <cell r="F95" t="str">
            <v>3.8311</v>
          </cell>
        </row>
        <row r="96">
          <cell r="F96" t="str">
            <v>3.8320</v>
          </cell>
        </row>
        <row r="97">
          <cell r="F97" t="str">
            <v>3.8330</v>
          </cell>
        </row>
        <row r="98">
          <cell r="F98" t="str">
            <v>3.8340</v>
          </cell>
        </row>
        <row r="99">
          <cell r="F99" t="str">
            <v>3.8400</v>
          </cell>
        </row>
        <row r="100">
          <cell r="F100" t="str">
            <v>3.8500</v>
          </cell>
        </row>
        <row r="101">
          <cell r="F101" t="str">
            <v>3.8600</v>
          </cell>
        </row>
        <row r="102">
          <cell r="F102" t="str">
            <v>3.8700</v>
          </cell>
        </row>
        <row r="103">
          <cell r="F103" t="str">
            <v>3.8910</v>
          </cell>
        </row>
        <row r="104">
          <cell r="F104" t="str">
            <v>3.8920</v>
          </cell>
        </row>
        <row r="105">
          <cell r="F105" t="str">
            <v>3.8930</v>
          </cell>
        </row>
        <row r="106">
          <cell r="F106" t="str">
            <v>3.9100</v>
          </cell>
        </row>
        <row r="107">
          <cell r="F107" t="str">
            <v>3.9200</v>
          </cell>
        </row>
        <row r="108">
          <cell r="F108" t="str">
            <v>3.9300</v>
          </cell>
        </row>
        <row r="109">
          <cell r="F109" t="str">
            <v>3.9350</v>
          </cell>
        </row>
        <row r="110">
          <cell r="F110" t="str">
            <v>3.9550</v>
          </cell>
        </row>
        <row r="111">
          <cell r="F111" t="str">
            <v>3.9710</v>
          </cell>
        </row>
        <row r="112">
          <cell r="F112" t="str">
            <v>3.9720</v>
          </cell>
        </row>
        <row r="113">
          <cell r="F113" t="str">
            <v>3.9730</v>
          </cell>
        </row>
      </sheetData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unddaten"/>
      <sheetName val="Zeitraum-Nr-Index"/>
      <sheetName val="Rechnungen_20181"/>
    </sheetNames>
    <definedNames>
      <definedName name="Stempel_Size"/>
    </definedNames>
    <sheetDataSet>
      <sheetData sheetId="0"/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unddaten"/>
      <sheetName val="Aug-Dez18"/>
      <sheetName val="9888_Chi_BBr"/>
    </sheetNames>
    <definedNames>
      <definedName name="Stempel_Size"/>
    </definedNames>
    <sheetDataSet>
      <sheetData sheetId="0"/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unddaten"/>
      <sheetName val="Juni-September23"/>
      <sheetName val="Juni-September23GUTSCHRIFT"/>
      <sheetName val="Juni-September23neu"/>
    </sheetNames>
    <definedNames>
      <definedName name="Stempel_Size"/>
    </defined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package" Target="../embeddings/Microsoft_Word-Dokument.docx"/><Relationship Id="rId5" Type="http://schemas.openxmlformats.org/officeDocument/2006/relationships/image" Target="../media/image1.emf"/><Relationship Id="rId4" Type="http://schemas.openxmlformats.org/officeDocument/2006/relationships/oleObject" Target="../embeddings/Microsoft_Word_97-2003-Dokument.doc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1.emf"/><Relationship Id="rId5" Type="http://schemas.openxmlformats.org/officeDocument/2006/relationships/oleObject" Target="../embeddings/oleObject1.bin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1.emf"/><Relationship Id="rId5" Type="http://schemas.openxmlformats.org/officeDocument/2006/relationships/oleObject" Target="../embeddings/Microsoft_Word_97-2003-Dokument1.doc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image" Target="../media/image1.emf"/><Relationship Id="rId5" Type="http://schemas.openxmlformats.org/officeDocument/2006/relationships/oleObject" Target="../embeddings/Microsoft_Word_97-2003-Dokument2.doc"/><Relationship Id="rId4" Type="http://schemas.openxmlformats.org/officeDocument/2006/relationships/vmlDrawing" Target="../drawings/vmlDrawing7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image" Target="../media/image1.emf"/><Relationship Id="rId5" Type="http://schemas.openxmlformats.org/officeDocument/2006/relationships/oleObject" Target="../embeddings/Microsoft_Word_97-2003-Dokument3.doc"/><Relationship Id="rId4" Type="http://schemas.openxmlformats.org/officeDocument/2006/relationships/vmlDrawing" Target="../drawings/vmlDrawing9.v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drawing" Target="../drawings/drawing6.xml"/><Relationship Id="rId7" Type="http://schemas.openxmlformats.org/officeDocument/2006/relationships/image" Target="../media/image1.emf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bkm@rrag.ch" TargetMode="External"/><Relationship Id="rId6" Type="http://schemas.openxmlformats.org/officeDocument/2006/relationships/oleObject" Target="../embeddings/Microsoft_Word_97-2003-Dokument4.doc"/><Relationship Id="rId5" Type="http://schemas.openxmlformats.org/officeDocument/2006/relationships/vmlDrawing" Target="../drawings/vmlDrawing11.vml"/><Relationship Id="rId4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Q66"/>
  <sheetViews>
    <sheetView showGridLines="0" tabSelected="1" zoomScaleNormal="100" workbookViewId="0">
      <selection activeCell="C44" sqref="C44"/>
    </sheetView>
  </sheetViews>
  <sheetFormatPr baseColWidth="10" defaultRowHeight="12.75"/>
  <cols>
    <col min="1" max="1" width="13.28515625" customWidth="1"/>
    <col min="2" max="2" width="8.140625" customWidth="1"/>
    <col min="3" max="3" width="5.85546875" customWidth="1"/>
    <col min="4" max="4" width="8.28515625" customWidth="1"/>
    <col min="5" max="5" width="7.140625" customWidth="1"/>
    <col min="6" max="6" width="5.7109375" customWidth="1"/>
    <col min="7" max="7" width="10" customWidth="1"/>
    <col min="8" max="8" width="14" customWidth="1"/>
    <col min="9" max="9" width="13.42578125" customWidth="1"/>
    <col min="10" max="10" width="14.7109375" customWidth="1"/>
    <col min="11" max="11" width="11.7109375" customWidth="1"/>
  </cols>
  <sheetData>
    <row r="1" spans="1:10" ht="12.75" customHeight="1">
      <c r="A1" s="4" t="s">
        <v>0</v>
      </c>
      <c r="B1" s="4"/>
      <c r="C1" s="4"/>
      <c r="D1" s="4"/>
      <c r="E1" s="4"/>
      <c r="F1" s="4"/>
      <c r="G1" s="4"/>
      <c r="H1" s="4"/>
      <c r="I1" s="4"/>
      <c r="J1" s="4"/>
    </row>
    <row r="2" spans="1:10" ht="12.75" customHeight="1">
      <c r="A2" s="4"/>
      <c r="B2" s="4"/>
      <c r="C2" s="4"/>
      <c r="D2" s="4"/>
      <c r="E2" s="66"/>
      <c r="F2" s="86"/>
      <c r="H2" s="66"/>
      <c r="I2" s="4"/>
      <c r="J2" s="4"/>
    </row>
    <row r="3" spans="1:10" ht="12.75" customHeight="1">
      <c r="A3" s="4"/>
      <c r="B3" s="4"/>
      <c r="C3" s="4"/>
      <c r="D3" s="4"/>
      <c r="E3" s="4"/>
      <c r="F3" s="4"/>
      <c r="G3" s="4"/>
      <c r="H3" s="4"/>
      <c r="I3" s="4"/>
      <c r="J3" s="4"/>
    </row>
    <row r="4" spans="1:10" ht="12.75" customHeight="1">
      <c r="A4" s="4"/>
      <c r="B4" s="4"/>
      <c r="C4" s="4"/>
      <c r="D4" s="4"/>
      <c r="E4" s="4"/>
      <c r="F4" s="4"/>
      <c r="G4" s="4"/>
      <c r="H4" s="4"/>
      <c r="I4" s="4"/>
      <c r="J4" s="4"/>
    </row>
    <row r="5" spans="1:10" ht="12.75" customHeight="1">
      <c r="A5" s="4" t="s">
        <v>36</v>
      </c>
      <c r="B5" s="4"/>
      <c r="C5" s="4"/>
      <c r="D5" s="4"/>
      <c r="E5" s="4"/>
      <c r="F5" s="4"/>
      <c r="G5" s="4"/>
      <c r="H5" s="4"/>
      <c r="I5" s="4"/>
      <c r="J5" s="4"/>
    </row>
    <row r="6" spans="1:10" ht="12.75" customHeight="1">
      <c r="A6" s="4" t="s">
        <v>37</v>
      </c>
      <c r="B6" s="4"/>
      <c r="C6" s="4"/>
      <c r="D6" s="4"/>
      <c r="E6" s="4"/>
      <c r="F6" s="4"/>
      <c r="G6" s="4"/>
      <c r="H6" s="4"/>
      <c r="I6" s="4"/>
      <c r="J6" s="4"/>
    </row>
    <row r="7" spans="1:10" ht="12.75" customHeight="1">
      <c r="A7" s="4" t="s">
        <v>66</v>
      </c>
      <c r="B7" s="4"/>
      <c r="C7" s="4"/>
      <c r="D7" s="4"/>
      <c r="E7" s="4"/>
      <c r="F7" s="4"/>
      <c r="G7" s="4"/>
      <c r="H7" s="4"/>
      <c r="I7" s="4"/>
      <c r="J7" s="4"/>
    </row>
    <row r="8" spans="1:10" ht="12.75" customHeight="1">
      <c r="A8" s="4"/>
      <c r="B8" s="4"/>
      <c r="C8" s="4"/>
      <c r="D8" s="4"/>
      <c r="E8" s="4"/>
      <c r="F8" s="4"/>
      <c r="G8" s="4"/>
      <c r="H8" s="4"/>
      <c r="I8" s="4"/>
      <c r="J8" s="4"/>
    </row>
    <row r="9" spans="1:10" ht="12.75" customHeight="1">
      <c r="A9" s="5"/>
      <c r="B9" s="4"/>
      <c r="C9" s="4"/>
      <c r="D9" s="4"/>
      <c r="E9" s="4"/>
      <c r="F9" s="4"/>
      <c r="G9" s="4"/>
      <c r="H9" s="4"/>
      <c r="I9" s="4"/>
      <c r="J9" s="4"/>
    </row>
    <row r="10" spans="1:10" ht="12.75" customHeight="1">
      <c r="A10" s="5"/>
      <c r="B10" s="4"/>
      <c r="C10" s="4"/>
      <c r="D10" s="4"/>
      <c r="E10" s="4"/>
      <c r="F10" s="4"/>
      <c r="G10" s="4"/>
      <c r="H10" s="4"/>
      <c r="I10" s="4"/>
      <c r="J10" s="4"/>
    </row>
    <row r="11" spans="1:10" ht="12.75" customHeight="1">
      <c r="A11" s="28" t="s">
        <v>7</v>
      </c>
      <c r="B11" s="4"/>
      <c r="C11" s="4"/>
      <c r="D11" s="4"/>
      <c r="E11" s="4"/>
      <c r="F11" s="8"/>
      <c r="G11" s="4"/>
      <c r="H11" s="4"/>
      <c r="I11" s="4"/>
      <c r="J11" s="4"/>
    </row>
    <row r="12" spans="1:10" ht="12.75" customHeight="1">
      <c r="A12" s="29" t="s">
        <v>62</v>
      </c>
      <c r="B12" s="4"/>
      <c r="C12" s="4"/>
      <c r="D12" s="4"/>
      <c r="E12" s="4"/>
      <c r="F12" s="8"/>
      <c r="G12" s="4"/>
      <c r="H12" s="4"/>
      <c r="I12" s="4"/>
      <c r="J12" s="4"/>
    </row>
    <row r="13" spans="1:10" ht="12.75" customHeight="1">
      <c r="A13" s="29" t="s">
        <v>63</v>
      </c>
      <c r="B13" s="4"/>
      <c r="C13" s="4"/>
      <c r="D13" s="4"/>
      <c r="E13" s="4"/>
      <c r="F13" s="4"/>
      <c r="G13" s="4"/>
      <c r="H13" s="4"/>
      <c r="I13" s="4"/>
      <c r="J13" s="4"/>
    </row>
    <row r="14" spans="1:10" ht="12.75" customHeight="1">
      <c r="A14" s="28" t="s">
        <v>64</v>
      </c>
      <c r="B14" s="4" t="s">
        <v>0</v>
      </c>
      <c r="C14" s="4"/>
      <c r="D14" s="4"/>
      <c r="E14" s="4"/>
      <c r="F14" s="4"/>
      <c r="G14" s="4"/>
      <c r="H14" s="4"/>
      <c r="I14" s="4"/>
      <c r="J14" s="4"/>
    </row>
    <row r="15" spans="1:10" ht="12.75" customHeight="1">
      <c r="A15" s="28"/>
      <c r="B15" s="4"/>
      <c r="C15" s="4"/>
      <c r="D15" s="4"/>
      <c r="E15" s="4"/>
      <c r="F15" s="4"/>
      <c r="G15" s="4"/>
      <c r="H15" s="4"/>
      <c r="I15" s="4"/>
      <c r="J15" s="4"/>
    </row>
    <row r="16" spans="1:10" ht="12.75" customHeight="1">
      <c r="B16" s="4"/>
      <c r="C16" s="4"/>
      <c r="D16" s="4"/>
      <c r="E16" s="4"/>
      <c r="F16" s="4"/>
      <c r="G16" s="4"/>
      <c r="H16" s="4"/>
      <c r="I16" s="4"/>
      <c r="J16" s="4"/>
    </row>
    <row r="17" spans="1:17" ht="12.75" customHeight="1">
      <c r="A17" s="5"/>
      <c r="B17" s="4"/>
      <c r="C17" s="4"/>
      <c r="D17" s="4"/>
      <c r="E17" s="4"/>
      <c r="F17" s="4"/>
      <c r="G17" s="4"/>
      <c r="H17" s="4"/>
      <c r="I17" s="4"/>
      <c r="J17" s="4"/>
    </row>
    <row r="18" spans="1:17" ht="12.75" customHeight="1">
      <c r="A18" s="8"/>
      <c r="B18" s="8"/>
      <c r="C18" s="8"/>
      <c r="D18" s="5"/>
      <c r="E18" s="4"/>
      <c r="F18" s="4"/>
      <c r="G18" s="4"/>
      <c r="H18" s="4"/>
      <c r="I18" s="4"/>
      <c r="J18" s="4"/>
    </row>
    <row r="19" spans="1:17" ht="12.75" customHeight="1">
      <c r="A19" s="152" t="s">
        <v>8</v>
      </c>
      <c r="B19" s="153"/>
      <c r="C19" s="153"/>
      <c r="D19" s="153"/>
      <c r="E19" s="153"/>
      <c r="F19" s="153"/>
      <c r="G19" s="4"/>
      <c r="H19" s="4"/>
      <c r="I19" s="4"/>
      <c r="J19" s="4"/>
    </row>
    <row r="20" spans="1:17" ht="6" customHeight="1">
      <c r="A20" s="4"/>
      <c r="B20" s="4"/>
      <c r="C20" s="4"/>
      <c r="D20" s="4"/>
      <c r="E20" s="4"/>
      <c r="F20" s="4"/>
      <c r="G20" s="4"/>
      <c r="H20" s="4"/>
      <c r="I20" s="4"/>
      <c r="J20" s="4"/>
    </row>
    <row r="21" spans="1:17" s="29" customFormat="1" ht="12.75" customHeight="1">
      <c r="A21" s="28" t="s">
        <v>60</v>
      </c>
      <c r="B21" s="28"/>
      <c r="C21" s="28"/>
      <c r="D21" s="30"/>
    </row>
    <row r="22" spans="1:17" ht="12.75" customHeight="1">
      <c r="A22" s="5"/>
      <c r="B22" s="5"/>
      <c r="C22" s="5"/>
      <c r="D22" s="8"/>
      <c r="E22" s="4"/>
      <c r="F22" s="4"/>
      <c r="G22" s="4"/>
      <c r="H22" s="4"/>
      <c r="I22" s="4"/>
      <c r="J22" s="4"/>
    </row>
    <row r="23" spans="1:17" ht="8.25" customHeight="1">
      <c r="A23" s="5"/>
      <c r="B23" s="5"/>
      <c r="C23" s="5"/>
      <c r="D23" s="8"/>
      <c r="E23" s="4"/>
      <c r="F23" s="4"/>
      <c r="G23" s="4"/>
      <c r="H23" s="4"/>
      <c r="I23" s="4"/>
      <c r="J23" s="4"/>
    </row>
    <row r="24" spans="1:17" ht="15" customHeight="1">
      <c r="A24" s="10" t="s">
        <v>73</v>
      </c>
      <c r="B24" s="3"/>
      <c r="C24" s="2"/>
      <c r="D24" s="10"/>
      <c r="E24" s="6"/>
      <c r="F24" s="12"/>
      <c r="G24" s="11"/>
      <c r="H24" s="10" t="s">
        <v>72</v>
      </c>
      <c r="I24" s="6"/>
      <c r="J24" s="7"/>
      <c r="L24" s="15"/>
      <c r="M24" s="7"/>
    </row>
    <row r="25" spans="1:17" s="29" customFormat="1" ht="12.75" customHeight="1">
      <c r="A25" s="67" t="s">
        <v>9</v>
      </c>
      <c r="B25" s="31"/>
      <c r="C25" s="31"/>
      <c r="D25" s="31"/>
      <c r="E25" s="31"/>
      <c r="F25" s="31"/>
      <c r="G25" s="31"/>
      <c r="H25" s="64" t="s">
        <v>4</v>
      </c>
      <c r="I25" s="64"/>
      <c r="J25" s="34"/>
      <c r="K25" s="31"/>
      <c r="L25" s="35"/>
      <c r="M25" s="31"/>
    </row>
    <row r="26" spans="1:17" s="29" customFormat="1" ht="12.75" customHeight="1">
      <c r="A26" s="36" t="s">
        <v>10</v>
      </c>
      <c r="B26" s="37"/>
      <c r="C26" s="38"/>
      <c r="D26" s="35"/>
      <c r="E26" s="31"/>
      <c r="F26" s="34"/>
      <c r="G26" s="31"/>
      <c r="H26" s="33"/>
      <c r="I26" s="33"/>
      <c r="J26" s="31"/>
      <c r="K26" s="31"/>
      <c r="N26" s="28"/>
      <c r="P26" s="30"/>
      <c r="Q26" s="39"/>
    </row>
    <row r="27" spans="1:17" s="29" customFormat="1" ht="12.75" customHeight="1">
      <c r="A27" s="22" t="s">
        <v>68</v>
      </c>
      <c r="B27" s="34"/>
      <c r="C27" s="38"/>
      <c r="D27" s="35"/>
      <c r="E27" s="31"/>
      <c r="F27" s="34"/>
      <c r="G27" s="31"/>
      <c r="H27" s="33"/>
      <c r="I27" s="33"/>
      <c r="J27" s="31"/>
      <c r="K27" s="31"/>
      <c r="P27" s="30"/>
      <c r="Q27" s="28"/>
    </row>
    <row r="28" spans="1:17" s="29" customFormat="1" ht="12.75" customHeight="1">
      <c r="A28" s="22" t="s">
        <v>69</v>
      </c>
      <c r="B28" s="34"/>
      <c r="C28" s="38"/>
      <c r="D28" s="35"/>
      <c r="E28" s="31"/>
      <c r="F28" s="34"/>
      <c r="G28" s="31"/>
      <c r="H28" s="33"/>
      <c r="I28" s="33"/>
      <c r="J28" s="31"/>
      <c r="K28" s="31"/>
      <c r="P28" s="30"/>
      <c r="Q28" s="28"/>
    </row>
    <row r="29" spans="1:17" s="29" customFormat="1" ht="12.75" customHeight="1">
      <c r="A29" s="22" t="s">
        <v>70</v>
      </c>
      <c r="B29" s="34"/>
      <c r="C29" s="38"/>
      <c r="D29" s="35"/>
      <c r="E29" s="31"/>
      <c r="F29" s="34"/>
      <c r="G29" s="31"/>
      <c r="H29" s="33"/>
      <c r="I29" s="33"/>
      <c r="J29" s="31"/>
      <c r="K29" s="31"/>
      <c r="P29" s="30"/>
      <c r="Q29" s="28"/>
    </row>
    <row r="30" spans="1:17" s="29" customFormat="1" ht="12.75" customHeight="1">
      <c r="A30" s="22" t="s">
        <v>65</v>
      </c>
      <c r="B30" s="34"/>
      <c r="C30" s="38"/>
      <c r="D30" s="35"/>
      <c r="E30" s="31"/>
      <c r="F30" s="34"/>
      <c r="G30" s="31"/>
      <c r="H30" s="33"/>
      <c r="I30" s="33"/>
      <c r="J30" s="31"/>
      <c r="K30" s="31"/>
      <c r="P30" s="30"/>
      <c r="Q30" s="28"/>
    </row>
    <row r="31" spans="1:17" s="29" customFormat="1" ht="12.75" customHeight="1">
      <c r="A31" s="29" t="s">
        <v>67</v>
      </c>
      <c r="B31" s="34"/>
      <c r="C31" s="38"/>
      <c r="D31" s="35"/>
      <c r="E31" s="31"/>
      <c r="F31" s="34"/>
      <c r="G31" s="31"/>
      <c r="H31" s="33"/>
      <c r="I31" s="33"/>
      <c r="J31" s="31"/>
      <c r="K31" s="31"/>
      <c r="P31" s="30"/>
      <c r="Q31" s="28"/>
    </row>
    <row r="32" spans="1:17" ht="12.75" customHeight="1">
      <c r="A32" s="59"/>
      <c r="B32" s="59"/>
      <c r="C32" s="59"/>
      <c r="D32" s="60"/>
      <c r="E32" s="64"/>
      <c r="F32" s="64"/>
      <c r="G32" s="61"/>
      <c r="H32" s="55" t="s">
        <v>1</v>
      </c>
      <c r="I32" s="56" t="s">
        <v>1</v>
      </c>
      <c r="J32" s="1"/>
    </row>
    <row r="33" spans="1:17" ht="13.5" customHeight="1">
      <c r="A33" s="34" t="s">
        <v>74</v>
      </c>
      <c r="B33" s="34"/>
      <c r="C33" s="34"/>
      <c r="D33" s="31"/>
      <c r="E33" s="33"/>
      <c r="F33" s="33"/>
      <c r="G33" s="32"/>
      <c r="H33" s="57"/>
      <c r="I33" s="58"/>
      <c r="J33" s="1"/>
    </row>
    <row r="34" spans="1:17" s="29" customFormat="1" ht="12.75" customHeight="1">
      <c r="G34" s="32"/>
      <c r="H34" s="32"/>
      <c r="I34" s="31"/>
      <c r="J34" s="35"/>
      <c r="K34" s="31"/>
      <c r="P34" s="30"/>
      <c r="Q34" s="28"/>
    </row>
    <row r="35" spans="1:17" s="29" customFormat="1" ht="12.75" customHeight="1">
      <c r="G35" s="32"/>
      <c r="H35" s="32"/>
      <c r="I35" s="31"/>
      <c r="J35" s="35"/>
      <c r="K35" s="31"/>
      <c r="P35" s="30"/>
      <c r="Q35" s="28"/>
    </row>
    <row r="36" spans="1:17" s="29" customFormat="1" ht="9" customHeight="1">
      <c r="G36" s="32"/>
      <c r="H36" s="32"/>
      <c r="I36" s="31"/>
      <c r="J36" s="35"/>
      <c r="K36" s="31"/>
      <c r="P36" s="30"/>
      <c r="Q36" s="28"/>
    </row>
    <row r="37" spans="1:17" s="29" customFormat="1" ht="15.75" customHeight="1">
      <c r="A37" s="87" t="s">
        <v>75</v>
      </c>
      <c r="B37" s="41"/>
      <c r="C37" s="83"/>
      <c r="D37" s="83"/>
      <c r="E37" s="49"/>
      <c r="F37" s="46"/>
      <c r="G37" s="68"/>
      <c r="H37" s="43"/>
      <c r="I37" s="65"/>
      <c r="J37" s="48"/>
      <c r="K37" s="50"/>
      <c r="L37" s="51"/>
      <c r="P37" s="30"/>
      <c r="Q37" s="28"/>
    </row>
    <row r="38" spans="1:17" s="29" customFormat="1" ht="15.75" customHeight="1">
      <c r="A38" s="41" t="s">
        <v>47</v>
      </c>
      <c r="B38" s="41"/>
      <c r="C38" s="83"/>
      <c r="D38" s="83"/>
      <c r="E38" s="49"/>
      <c r="F38" s="46"/>
      <c r="G38" s="68"/>
      <c r="H38" s="122">
        <v>363764.76</v>
      </c>
      <c r="I38" s="65"/>
      <c r="J38" s="48"/>
      <c r="K38" s="50"/>
      <c r="L38" s="51"/>
      <c r="P38" s="30"/>
      <c r="Q38" s="28"/>
    </row>
    <row r="39" spans="1:17" s="29" customFormat="1" ht="15.75" customHeight="1">
      <c r="A39" s="139" t="s">
        <v>48</v>
      </c>
      <c r="B39" s="45"/>
      <c r="C39" s="139"/>
      <c r="D39" s="69"/>
      <c r="E39" s="46"/>
      <c r="F39" s="49"/>
      <c r="G39" s="47"/>
      <c r="H39" s="122">
        <v>133984.24</v>
      </c>
      <c r="I39" s="65"/>
      <c r="J39" s="48"/>
      <c r="K39" s="50"/>
      <c r="L39" s="51"/>
      <c r="P39" s="30"/>
      <c r="Q39" s="28"/>
    </row>
    <row r="40" spans="1:17" s="29" customFormat="1" ht="15.75" customHeight="1">
      <c r="A40" s="139" t="s">
        <v>49</v>
      </c>
      <c r="B40" s="45"/>
      <c r="C40" s="139"/>
      <c r="D40" s="69"/>
      <c r="E40" s="46"/>
      <c r="F40" s="49"/>
      <c r="G40" s="47"/>
      <c r="H40" s="122">
        <v>65971.649999999994</v>
      </c>
      <c r="I40" s="65"/>
      <c r="J40" s="48"/>
      <c r="K40" s="50"/>
      <c r="L40" s="51"/>
      <c r="P40" s="30"/>
      <c r="Q40" s="28"/>
    </row>
    <row r="41" spans="1:17" s="29" customFormat="1" ht="15.75" customHeight="1">
      <c r="A41" s="139" t="s">
        <v>53</v>
      </c>
      <c r="B41" s="45"/>
      <c r="C41" s="139"/>
      <c r="D41" s="69"/>
      <c r="E41" s="46"/>
      <c r="F41" s="49"/>
      <c r="G41" s="47"/>
      <c r="H41" s="124">
        <v>64991</v>
      </c>
      <c r="I41" s="65"/>
      <c r="J41" s="48"/>
      <c r="K41" s="50"/>
      <c r="L41" s="51"/>
      <c r="P41" s="30"/>
      <c r="Q41" s="28"/>
    </row>
    <row r="42" spans="1:17" s="29" customFormat="1" ht="13.5" customHeight="1">
      <c r="A42" s="139"/>
      <c r="B42" s="45"/>
      <c r="C42" s="139"/>
      <c r="D42" s="69"/>
      <c r="E42" s="46"/>
      <c r="F42" s="49"/>
      <c r="G42" s="47"/>
      <c r="H42" s="43">
        <f>SUM(H38:H41)</f>
        <v>628711.65</v>
      </c>
      <c r="I42" s="65"/>
      <c r="J42" s="48"/>
      <c r="K42" s="50"/>
      <c r="L42" s="51"/>
      <c r="P42" s="30"/>
      <c r="Q42" s="28"/>
    </row>
    <row r="43" spans="1:17" s="29" customFormat="1" ht="13.5" customHeight="1">
      <c r="A43" s="139"/>
      <c r="B43" s="45"/>
      <c r="C43" s="139"/>
      <c r="D43" s="69"/>
      <c r="E43" s="46"/>
      <c r="F43" s="49"/>
      <c r="G43" s="47"/>
      <c r="H43" s="43"/>
      <c r="I43" s="65"/>
      <c r="J43" s="48"/>
      <c r="K43" s="50"/>
      <c r="L43" s="51"/>
      <c r="P43" s="30"/>
      <c r="Q43" s="28"/>
    </row>
    <row r="44" spans="1:17" s="29" customFormat="1" ht="24.75" customHeight="1">
      <c r="A44" s="140" t="s">
        <v>71</v>
      </c>
      <c r="B44" s="138"/>
      <c r="C44" s="144"/>
      <c r="D44" s="144"/>
      <c r="E44" s="144"/>
      <c r="F44" s="144"/>
      <c r="G44" s="147">
        <v>2.7400000000000001E-2</v>
      </c>
      <c r="H44" s="124">
        <f>(ROUND(H42*G44*20,0)/20)</f>
        <v>17226.7</v>
      </c>
      <c r="I44" s="81"/>
      <c r="J44" s="44"/>
      <c r="K44" s="50"/>
      <c r="L44" s="51"/>
    </row>
    <row r="45" spans="1:17" s="29" customFormat="1" ht="14.25" customHeight="1">
      <c r="A45" s="139"/>
      <c r="B45" s="138"/>
      <c r="C45" s="144"/>
      <c r="D45" s="144"/>
      <c r="E45" s="144"/>
      <c r="F45" s="144"/>
      <c r="G45" s="80"/>
      <c r="H45" s="122"/>
      <c r="I45" s="81"/>
      <c r="J45" s="44"/>
      <c r="K45" s="50"/>
      <c r="L45" s="51"/>
    </row>
    <row r="46" spans="1:17" s="29" customFormat="1" ht="19.5" customHeight="1">
      <c r="A46" s="139"/>
      <c r="B46" s="138"/>
      <c r="C46" s="144"/>
      <c r="D46" s="144"/>
      <c r="E46" s="144"/>
      <c r="F46" s="144"/>
      <c r="G46" s="80"/>
      <c r="H46" s="122"/>
      <c r="I46" s="81"/>
      <c r="J46" s="44"/>
      <c r="K46" s="50"/>
      <c r="L46" s="51"/>
    </row>
    <row r="47" spans="1:17" s="29" customFormat="1" ht="13.5" customHeight="1">
      <c r="A47" s="139"/>
      <c r="B47" s="41"/>
      <c r="C47" s="139"/>
      <c r="D47" s="41"/>
      <c r="E47" s="46"/>
      <c r="F47" s="49"/>
      <c r="G47" s="123"/>
      <c r="H47" s="122"/>
      <c r="I47" s="127"/>
      <c r="J47" s="44"/>
      <c r="K47" s="50"/>
      <c r="L47" s="51"/>
      <c r="N47" s="22"/>
    </row>
    <row r="48" spans="1:17" s="29" customFormat="1" ht="15.75" customHeight="1">
      <c r="A48" s="42"/>
      <c r="B48" s="27"/>
      <c r="C48" s="139"/>
      <c r="D48" s="45"/>
      <c r="E48" s="46"/>
      <c r="F48" s="49"/>
      <c r="G48" s="82"/>
      <c r="H48" s="122">
        <f>SUM(H44:H47)</f>
        <v>17226.7</v>
      </c>
      <c r="I48" s="127">
        <f>H48</f>
        <v>17226.7</v>
      </c>
      <c r="J48" s="44"/>
      <c r="K48" s="50"/>
      <c r="L48" s="51"/>
      <c r="N48" s="22"/>
    </row>
    <row r="49" spans="1:11" ht="14.25">
      <c r="A49" s="28" t="s">
        <v>6</v>
      </c>
      <c r="B49" s="62"/>
      <c r="C49" s="30"/>
      <c r="D49" s="39"/>
      <c r="E49" s="63"/>
      <c r="F49" s="63"/>
      <c r="G49" s="123">
        <v>7.6999999999999999E-2</v>
      </c>
      <c r="H49" s="122"/>
      <c r="I49" s="130">
        <f>ROUND(I48*G49*20,0)/20</f>
        <v>1326.45</v>
      </c>
      <c r="J49" s="1"/>
    </row>
    <row r="50" spans="1:11" s="29" customFormat="1" ht="16.5" customHeight="1">
      <c r="A50" s="28" t="s">
        <v>2</v>
      </c>
      <c r="B50" s="53"/>
      <c r="D50" s="53"/>
      <c r="E50" s="52"/>
      <c r="F50" s="54"/>
      <c r="G50" s="135"/>
      <c r="H50" s="136"/>
      <c r="I50" s="137">
        <f>SUM(I48:I49)</f>
        <v>18553.150000000001</v>
      </c>
      <c r="J50" s="31"/>
      <c r="K50" s="31"/>
    </row>
    <row r="51" spans="1:11" s="29" customFormat="1" ht="16.5" customHeight="1">
      <c r="A51" s="28"/>
      <c r="B51" s="53"/>
      <c r="D51" s="53"/>
      <c r="E51" s="52"/>
      <c r="F51" s="54"/>
      <c r="G51" s="135"/>
      <c r="H51" s="136"/>
      <c r="I51" s="137"/>
      <c r="J51" s="31"/>
      <c r="K51" s="31"/>
    </row>
    <row r="52" spans="1:11" s="29" customFormat="1" ht="16.5" customHeight="1">
      <c r="A52" s="28"/>
      <c r="B52" s="53"/>
      <c r="D52" s="53"/>
      <c r="E52" s="52"/>
      <c r="F52" s="54"/>
      <c r="G52" s="40"/>
      <c r="H52" s="26"/>
      <c r="I52" s="84"/>
      <c r="J52" s="31"/>
      <c r="K52" s="31"/>
    </row>
    <row r="53" spans="1:11" ht="12" customHeight="1">
      <c r="A53" s="14" t="s">
        <v>11</v>
      </c>
      <c r="B53" s="23"/>
      <c r="C53" s="23"/>
      <c r="D53" s="23"/>
      <c r="E53" s="23"/>
      <c r="F53" s="23"/>
      <c r="G53" s="25"/>
      <c r="H53" s="21"/>
      <c r="I53" s="24"/>
      <c r="J53" s="7"/>
      <c r="K53" s="1"/>
    </row>
    <row r="54" spans="1:11" ht="12" customHeight="1">
      <c r="A54" s="14" t="s">
        <v>43</v>
      </c>
      <c r="G54" s="25"/>
      <c r="H54" s="21"/>
      <c r="J54" s="7"/>
      <c r="K54" s="1"/>
    </row>
    <row r="55" spans="1:11" ht="12" customHeight="1">
      <c r="A55" s="14"/>
      <c r="G55" s="148"/>
      <c r="H55" s="24"/>
      <c r="J55" s="7"/>
      <c r="K55" s="1"/>
    </row>
    <row r="56" spans="1:11" ht="3.75" customHeight="1">
      <c r="A56" s="16"/>
      <c r="B56" s="17"/>
      <c r="C56" s="17"/>
      <c r="D56" s="18"/>
      <c r="E56" s="19"/>
      <c r="F56" s="18"/>
      <c r="G56" s="18"/>
      <c r="H56" s="20"/>
      <c r="I56" s="20"/>
      <c r="J56" s="1"/>
      <c r="K56" s="1"/>
    </row>
    <row r="57" spans="1:11" ht="9" customHeight="1">
      <c r="B57" s="5"/>
      <c r="C57" s="5"/>
      <c r="D57" s="4"/>
      <c r="E57" s="13"/>
      <c r="F57" s="4"/>
      <c r="G57" s="7"/>
      <c r="H57" s="9"/>
      <c r="I57" s="9"/>
      <c r="J57" s="1"/>
      <c r="K57" s="1"/>
    </row>
    <row r="58" spans="1:11" ht="9" customHeight="1">
      <c r="B58" s="5"/>
      <c r="C58" s="5"/>
      <c r="D58" s="4"/>
      <c r="E58" s="13"/>
      <c r="F58" s="4"/>
      <c r="G58" s="7"/>
      <c r="H58" s="9"/>
      <c r="I58" s="9"/>
      <c r="J58" s="1"/>
      <c r="K58" s="1"/>
    </row>
    <row r="59" spans="1:11" ht="9" customHeight="1">
      <c r="B59" s="5"/>
      <c r="C59" s="5"/>
      <c r="D59" s="4"/>
      <c r="E59" s="13"/>
      <c r="F59" s="4"/>
      <c r="G59" s="7"/>
      <c r="H59" s="9"/>
      <c r="I59" s="9"/>
      <c r="J59" s="1"/>
      <c r="K59" s="1"/>
    </row>
    <row r="60" spans="1:11" ht="9" customHeight="1">
      <c r="B60" s="5"/>
      <c r="C60" s="5"/>
      <c r="D60" s="4"/>
      <c r="E60" s="13"/>
      <c r="F60" s="4"/>
      <c r="G60" s="7"/>
      <c r="H60" s="9"/>
      <c r="I60" s="9"/>
      <c r="J60" s="1"/>
      <c r="K60" s="1"/>
    </row>
    <row r="61" spans="1:11" ht="9" customHeight="1">
      <c r="B61" s="5"/>
      <c r="C61" s="5"/>
      <c r="D61" s="4"/>
      <c r="E61" s="13"/>
      <c r="F61" s="4"/>
      <c r="G61" s="7"/>
      <c r="H61" s="9"/>
      <c r="I61" s="9"/>
      <c r="J61" s="1"/>
      <c r="K61" s="1"/>
    </row>
    <row r="62" spans="1:11" ht="9" customHeight="1">
      <c r="B62" s="5"/>
      <c r="C62" s="5"/>
      <c r="D62" s="4"/>
      <c r="E62" s="13"/>
      <c r="F62" s="4"/>
      <c r="G62" s="7"/>
      <c r="H62" s="9"/>
      <c r="I62" s="9"/>
      <c r="J62" s="1"/>
      <c r="K62" s="1"/>
    </row>
    <row r="63" spans="1:11" ht="9" customHeight="1">
      <c r="B63" s="5"/>
      <c r="C63" s="5"/>
      <c r="D63" s="4"/>
      <c r="E63" s="13"/>
      <c r="F63" s="4"/>
      <c r="G63" s="7"/>
      <c r="H63" s="9"/>
      <c r="I63" s="9"/>
      <c r="J63" s="1"/>
      <c r="K63" s="1"/>
    </row>
    <row r="64" spans="1:11" ht="9" customHeight="1">
      <c r="B64" s="5"/>
      <c r="C64" s="5"/>
      <c r="D64" s="4"/>
      <c r="E64" s="13"/>
      <c r="F64" s="4"/>
      <c r="G64" s="7"/>
      <c r="H64" s="9"/>
      <c r="I64" s="9"/>
      <c r="J64" s="1"/>
      <c r="K64" s="1"/>
    </row>
    <row r="65" spans="2:11" ht="9" customHeight="1">
      <c r="B65" s="5"/>
      <c r="C65" s="5"/>
      <c r="D65" s="4"/>
      <c r="E65" s="13"/>
      <c r="F65" s="4"/>
      <c r="G65" s="7"/>
      <c r="H65" s="9"/>
      <c r="I65" s="9"/>
      <c r="J65" s="1"/>
      <c r="K65" s="1"/>
    </row>
    <row r="66" spans="2:11" ht="9" customHeight="1">
      <c r="B66" s="5"/>
      <c r="C66" s="5"/>
      <c r="D66" s="4"/>
      <c r="E66" s="13"/>
      <c r="F66" s="4"/>
      <c r="G66" s="7"/>
      <c r="H66" s="9"/>
      <c r="I66" s="9"/>
      <c r="J66" s="1"/>
      <c r="K66" s="1"/>
    </row>
  </sheetData>
  <mergeCells count="1">
    <mergeCell ref="A19:F19"/>
  </mergeCells>
  <pageMargins left="1.0629921259842521" right="0.54" top="0.43307086614173229" bottom="0.19685039370078741" header="0.23622047244094491" footer="0.15748031496062992"/>
  <pageSetup paperSize="9" orientation="portrait" r:id="rId1"/>
  <headerFooter>
    <oddHeader xml:space="preserve">&amp;C  </oddHeader>
  </headerFooter>
  <drawing r:id="rId2"/>
  <legacyDrawing r:id="rId3"/>
  <oleObjects>
    <mc:AlternateContent xmlns:mc="http://schemas.openxmlformats.org/markup-compatibility/2006">
      <mc:Choice Requires="x14">
        <oleObject progId="Word.Document.6" shapeId="59393" r:id="rId4">
          <objectPr defaultSize="0" autoLine="0" autoPict="0" r:id="rId5">
            <anchor>
              <from>
                <xdr:col>0</xdr:col>
                <xdr:colOff>0</xdr:colOff>
                <xdr:row>125</xdr:row>
                <xdr:rowOff>47625</xdr:rowOff>
              </from>
              <to>
                <xdr:col>8</xdr:col>
                <xdr:colOff>828675</xdr:colOff>
                <xdr:row>127</xdr:row>
                <xdr:rowOff>47625</xdr:rowOff>
              </to>
            </anchor>
          </objectPr>
        </oleObject>
      </mc:Choice>
      <mc:Fallback>
        <oleObject progId="Word.Document.6" shapeId="59393" r:id="rId4"/>
      </mc:Fallback>
    </mc:AlternateContent>
    <mc:AlternateContent xmlns:mc="http://schemas.openxmlformats.org/markup-compatibility/2006">
      <mc:Choice Requires="x14">
        <oleObject progId="Word.Document.12" shapeId="59394" r:id="rId6">
          <objectPr defaultSize="0" autoPict="0" r:id="rId7">
            <anchor moveWithCells="1">
              <from>
                <xdr:col>0</xdr:col>
                <xdr:colOff>19050</xdr:colOff>
                <xdr:row>0</xdr:row>
                <xdr:rowOff>38100</xdr:rowOff>
              </from>
              <to>
                <xdr:col>9</xdr:col>
                <xdr:colOff>342900</xdr:colOff>
                <xdr:row>3</xdr:row>
                <xdr:rowOff>152400</xdr:rowOff>
              </to>
            </anchor>
          </objectPr>
        </oleObject>
      </mc:Choice>
      <mc:Fallback>
        <oleObject progId="Word.Document.12" shapeId="59394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/>
  <dimension ref="A1:B37"/>
  <sheetViews>
    <sheetView showGridLines="0" zoomScaleNormal="100" workbookViewId="0">
      <selection activeCell="B4" sqref="B4"/>
    </sheetView>
  </sheetViews>
  <sheetFormatPr baseColWidth="10" defaultColWidth="18.28515625" defaultRowHeight="12.75"/>
  <cols>
    <col min="1" max="1" width="25" style="89" customWidth="1"/>
    <col min="2" max="2" width="38" style="89" customWidth="1"/>
    <col min="3" max="16384" width="18.28515625" style="89"/>
  </cols>
  <sheetData>
    <row r="1" spans="1:2" ht="15">
      <c r="A1" s="88" t="s">
        <v>12</v>
      </c>
    </row>
    <row r="2" spans="1:2" ht="12.75" customHeight="1"/>
    <row r="3" spans="1:2" ht="12.75" customHeight="1">
      <c r="A3" s="89" t="s">
        <v>13</v>
      </c>
      <c r="B3" s="90">
        <v>9890</v>
      </c>
    </row>
    <row r="4" spans="1:2" ht="12.75" customHeight="1">
      <c r="A4" s="89" t="s">
        <v>14</v>
      </c>
      <c r="B4" s="91" t="s">
        <v>61</v>
      </c>
    </row>
    <row r="5" spans="1:2" ht="12.75" customHeight="1"/>
    <row r="6" spans="1:2" ht="12.75" customHeight="1">
      <c r="A6" s="89" t="s">
        <v>15</v>
      </c>
      <c r="B6" s="92">
        <v>45</v>
      </c>
    </row>
    <row r="7" spans="1:2" ht="12.75" customHeight="1"/>
    <row r="8" spans="1:2" ht="12.75" customHeight="1">
      <c r="A8" s="89" t="s">
        <v>16</v>
      </c>
      <c r="B8" s="93" t="s">
        <v>39</v>
      </c>
    </row>
    <row r="9" spans="1:2" ht="12.75" customHeight="1">
      <c r="B9" s="91" t="s">
        <v>36</v>
      </c>
    </row>
    <row r="10" spans="1:2" ht="12.75" customHeight="1">
      <c r="B10" s="91" t="s">
        <v>37</v>
      </c>
    </row>
    <row r="11" spans="1:2" ht="12.75" customHeight="1">
      <c r="B11" s="91" t="s">
        <v>3</v>
      </c>
    </row>
    <row r="12" spans="1:2" ht="12.75" customHeight="1">
      <c r="B12" s="91"/>
    </row>
    <row r="13" spans="1:2" ht="12.75" customHeight="1">
      <c r="A13" s="94"/>
    </row>
    <row r="14" spans="1:2" ht="12.75" customHeight="1">
      <c r="A14" s="94" t="s">
        <v>17</v>
      </c>
      <c r="B14" s="95">
        <v>0</v>
      </c>
    </row>
    <row r="15" spans="1:2" ht="12.75" customHeight="1">
      <c r="A15" s="94" t="s">
        <v>18</v>
      </c>
      <c r="B15" s="95">
        <v>0</v>
      </c>
    </row>
    <row r="17" spans="1:2" ht="12.75" customHeight="1">
      <c r="A17" s="94" t="s">
        <v>19</v>
      </c>
      <c r="B17" s="91"/>
    </row>
    <row r="18" spans="1:2" ht="12.75" customHeight="1">
      <c r="A18" s="94"/>
      <c r="B18" s="91"/>
    </row>
    <row r="19" spans="1:2" ht="12.75" customHeight="1">
      <c r="A19" s="94"/>
      <c r="B19" s="91"/>
    </row>
    <row r="20" spans="1:2" ht="12.75" customHeight="1">
      <c r="A20" s="94"/>
      <c r="B20" s="91"/>
    </row>
    <row r="21" spans="1:2" ht="12.75" customHeight="1">
      <c r="B21" s="91"/>
    </row>
    <row r="22" spans="1:2" ht="12.75" customHeight="1"/>
    <row r="23" spans="1:2" ht="12.75" customHeight="1"/>
    <row r="25" spans="1:2">
      <c r="A25" s="89" t="s">
        <v>20</v>
      </c>
      <c r="B25" s="154"/>
    </row>
    <row r="26" spans="1:2">
      <c r="B26" s="154"/>
    </row>
    <row r="27" spans="1:2">
      <c r="B27" s="154"/>
    </row>
    <row r="28" spans="1:2">
      <c r="B28" s="154"/>
    </row>
    <row r="29" spans="1:2">
      <c r="B29" s="154"/>
    </row>
    <row r="30" spans="1:2">
      <c r="B30" s="154"/>
    </row>
    <row r="31" spans="1:2">
      <c r="B31" s="154"/>
    </row>
    <row r="32" spans="1:2">
      <c r="B32" s="154"/>
    </row>
    <row r="33" spans="2:2">
      <c r="B33" s="154"/>
    </row>
    <row r="34" spans="2:2">
      <c r="B34" s="154"/>
    </row>
    <row r="35" spans="2:2">
      <c r="B35" s="154"/>
    </row>
    <row r="36" spans="2:2">
      <c r="B36" s="154"/>
    </row>
    <row r="37" spans="2:2">
      <c r="B37" s="154"/>
    </row>
  </sheetData>
  <mergeCells count="1">
    <mergeCell ref="B25:B37"/>
  </mergeCells>
  <pageMargins left="0.94488188976377963" right="0.62992125984251968" top="0.43307086614173229" bottom="0.19685039370078741" header="0.98425196850393704" footer="0.27559055118110237"/>
  <pageSetup paperSize="9" orientation="portrait" r:id="rId1"/>
  <headerFooter>
    <oddHeader>&amp;R&amp;G</oddHeader>
    <oddFooter>&amp;L&amp;G</oddFooter>
  </headerFooter>
  <drawing r:id="rId2"/>
  <legacyDrawing r:id="rId3"/>
  <legacyDrawingHF r:id="rId4"/>
  <oleObjects>
    <mc:AlternateContent xmlns:mc="http://schemas.openxmlformats.org/markup-compatibility/2006">
      <mc:Choice Requires="x14">
        <oleObject progId="Word.Document.6" shapeId="45057" r:id="rId5">
          <objectPr defaultSize="0" autoLine="0" autoPict="0" r:id="rId6">
            <anchor>
              <from>
                <xdr:col>0</xdr:col>
                <xdr:colOff>0</xdr:colOff>
                <xdr:row>120</xdr:row>
                <xdr:rowOff>152400</xdr:rowOff>
              </from>
              <to>
                <xdr:col>3</xdr:col>
                <xdr:colOff>238125</xdr:colOff>
                <xdr:row>122</xdr:row>
                <xdr:rowOff>133350</xdr:rowOff>
              </to>
            </anchor>
          </objectPr>
        </oleObject>
      </mc:Choice>
      <mc:Fallback>
        <oleObject progId="Word.Document.6" shapeId="45057" r:id="rId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J45"/>
  <sheetViews>
    <sheetView showGridLines="0" zoomScaleNormal="100" workbookViewId="0">
      <selection activeCell="I8" sqref="I8"/>
    </sheetView>
  </sheetViews>
  <sheetFormatPr baseColWidth="10" defaultRowHeight="14.25"/>
  <cols>
    <col min="1" max="1" width="18.7109375" style="70" customWidth="1"/>
    <col min="2" max="2" width="12.85546875" style="70" customWidth="1"/>
    <col min="3" max="3" width="6.140625" style="70" customWidth="1"/>
    <col min="4" max="4" width="9.7109375" style="70" customWidth="1"/>
    <col min="5" max="5" width="12.7109375" style="70" customWidth="1"/>
    <col min="6" max="7" width="12.85546875" style="70" customWidth="1"/>
    <col min="8" max="8" width="21.85546875" style="70" customWidth="1"/>
    <col min="9" max="9" width="30.7109375" style="70" customWidth="1"/>
    <col min="10" max="16384" width="11.42578125" style="70"/>
  </cols>
  <sheetData>
    <row r="1" spans="1:10" ht="129.94999999999999" customHeight="1">
      <c r="H1" s="96" t="s">
        <v>21</v>
      </c>
      <c r="I1" s="97"/>
      <c r="J1" s="98"/>
    </row>
    <row r="2" spans="1:10">
      <c r="A2" s="71" t="str">
        <f>IF(Grunddaten!B8="","",Grunddaten!B8)</f>
        <v>INGE EP RF-BB</v>
      </c>
      <c r="E2" s="70" t="str">
        <f>IF(Grunddaten!B17="","","Versand an:")</f>
        <v/>
      </c>
      <c r="H2" s="98"/>
      <c r="I2" s="98"/>
      <c r="J2" s="98"/>
    </row>
    <row r="3" spans="1:10">
      <c r="A3" s="71" t="str">
        <f>IF(Grunddaten!B9="","",Grunddaten!B9)</f>
        <v>c/o Aegerter &amp; Bosshardt AG</v>
      </c>
      <c r="E3" s="70" t="str">
        <f>IF(Grunddaten!B17="","",Grunddaten!B17)</f>
        <v/>
      </c>
      <c r="H3" s="98"/>
      <c r="I3" s="98"/>
      <c r="J3" s="98"/>
    </row>
    <row r="4" spans="1:10">
      <c r="A4" s="71" t="str">
        <f>IF(Grunddaten!B10="","",Grunddaten!B10)</f>
        <v>Hochstrasse 48</v>
      </c>
      <c r="E4" s="70" t="str">
        <f>IF(Grunddaten!B18="","",Grunddaten!B18)</f>
        <v/>
      </c>
      <c r="H4" s="98" t="s">
        <v>22</v>
      </c>
      <c r="I4" s="99" t="s">
        <v>56</v>
      </c>
      <c r="J4" s="98"/>
    </row>
    <row r="5" spans="1:10">
      <c r="A5" s="71" t="str">
        <f>IF(Grunddaten!B11="","",Grunddaten!B11)</f>
        <v>4002 Basel</v>
      </c>
      <c r="E5" s="70" t="str">
        <f>IF(Grunddaten!B19="","",Grunddaten!B19)</f>
        <v/>
      </c>
      <c r="H5" s="98" t="s">
        <v>23</v>
      </c>
      <c r="I5" s="100"/>
      <c r="J5" s="98"/>
    </row>
    <row r="6" spans="1:10">
      <c r="A6" s="71" t="str">
        <f>IF(Grunddaten!B12="","",Grunddaten!B12)</f>
        <v/>
      </c>
      <c r="E6" s="70" t="str">
        <f>IF(Grunddaten!B20="","",Grunddaten!B20)</f>
        <v/>
      </c>
      <c r="H6" s="98" t="s">
        <v>24</v>
      </c>
      <c r="I6" s="101"/>
      <c r="J6" s="98"/>
    </row>
    <row r="7" spans="1:10">
      <c r="A7" s="71"/>
      <c r="E7" s="70" t="str">
        <f>IF(Grunddaten!B21="","",Grunddaten!B21)</f>
        <v/>
      </c>
      <c r="H7" s="98" t="s">
        <v>25</v>
      </c>
      <c r="I7" s="102"/>
      <c r="J7" s="98"/>
    </row>
    <row r="8" spans="1:10" ht="15">
      <c r="A8" s="71"/>
      <c r="H8" s="98" t="s">
        <v>26</v>
      </c>
      <c r="I8" s="100" t="s">
        <v>57</v>
      </c>
      <c r="J8" s="88"/>
    </row>
    <row r="9" spans="1:10" ht="14.25" customHeight="1">
      <c r="A9" s="155" t="s">
        <v>27</v>
      </c>
      <c r="E9" s="74" t="s">
        <v>28</v>
      </c>
      <c r="F9" s="75" t="s">
        <v>29</v>
      </c>
      <c r="H9" s="98"/>
      <c r="I9" s="98"/>
      <c r="J9" s="98"/>
    </row>
    <row r="10" spans="1:10">
      <c r="A10" s="155"/>
      <c r="E10" s="74" t="s">
        <v>30</v>
      </c>
      <c r="F10" s="74" t="str">
        <f>IF(I6="","",I6)</f>
        <v/>
      </c>
      <c r="H10" s="98"/>
      <c r="I10" s="98"/>
      <c r="J10" s="98"/>
    </row>
    <row r="11" spans="1:10">
      <c r="E11" s="74" t="s">
        <v>31</v>
      </c>
      <c r="F11" s="103" t="str">
        <f>IF(I7="","",I7)</f>
        <v/>
      </c>
      <c r="H11" s="98"/>
      <c r="I11" s="98"/>
      <c r="J11" s="98"/>
    </row>
    <row r="12" spans="1:10">
      <c r="C12" s="73"/>
      <c r="E12" s="75" t="s">
        <v>32</v>
      </c>
      <c r="F12" s="75" t="str">
        <f>Grunddaten!$B$3&amp;$I$4&amp;" / "&amp;Grunddaten!$B$4&amp;" / "&amp;$I$5</f>
        <v xml:space="preserve">9890.200 / FCh / </v>
      </c>
      <c r="G12" s="85"/>
      <c r="H12" s="98"/>
      <c r="I12" s="98"/>
      <c r="J12" s="98"/>
    </row>
    <row r="13" spans="1:10" s="85" customFormat="1">
      <c r="C13" s="104"/>
      <c r="D13" s="104"/>
      <c r="E13" s="75" t="s">
        <v>33</v>
      </c>
      <c r="F13" s="105" t="str">
        <f>Grunddaten!B6&amp;" Tage netto"</f>
        <v>45 Tage netto</v>
      </c>
      <c r="G13" s="81"/>
      <c r="H13" s="106"/>
      <c r="I13" s="106"/>
      <c r="J13" s="106"/>
    </row>
    <row r="14" spans="1:10" ht="9.9499999999999993" customHeight="1">
      <c r="A14" s="71"/>
      <c r="B14" s="71"/>
      <c r="C14" s="73"/>
      <c r="E14" s="85"/>
      <c r="F14" s="85"/>
      <c r="G14" s="85"/>
      <c r="H14" s="88"/>
      <c r="I14" s="88"/>
      <c r="J14" s="88"/>
    </row>
    <row r="15" spans="1:10" s="109" customFormat="1" ht="15">
      <c r="A15" s="107" t="s">
        <v>9</v>
      </c>
      <c r="B15" s="107"/>
      <c r="C15" s="107"/>
      <c r="D15" s="107"/>
      <c r="E15" s="107"/>
      <c r="F15" s="107"/>
      <c r="G15" s="107"/>
      <c r="H15" s="108"/>
      <c r="I15" s="106"/>
      <c r="J15" s="98"/>
    </row>
    <row r="16" spans="1:10">
      <c r="A16" s="110" t="s">
        <v>42</v>
      </c>
      <c r="B16" s="110"/>
      <c r="C16" s="110"/>
      <c r="D16" s="110"/>
      <c r="E16" s="110"/>
      <c r="F16" s="110"/>
      <c r="G16" s="110"/>
      <c r="H16" s="106"/>
      <c r="I16" s="98"/>
      <c r="J16" s="98"/>
    </row>
    <row r="17" spans="1:10">
      <c r="A17" s="110" t="s">
        <v>41</v>
      </c>
      <c r="B17" s="111"/>
      <c r="C17" s="111"/>
      <c r="D17" s="111"/>
      <c r="E17" s="111"/>
      <c r="F17" s="111"/>
      <c r="G17" s="111"/>
      <c r="H17" s="106"/>
      <c r="I17" s="98"/>
      <c r="J17" s="98"/>
    </row>
    <row r="18" spans="1:10">
      <c r="A18" s="110" t="s">
        <v>40</v>
      </c>
      <c r="B18" s="111"/>
      <c r="C18" s="111"/>
      <c r="D18" s="111"/>
      <c r="E18" s="111"/>
      <c r="F18" s="111"/>
      <c r="G18" s="111"/>
      <c r="H18" s="106"/>
      <c r="I18" s="106"/>
      <c r="J18" s="98"/>
    </row>
    <row r="19" spans="1:10" ht="14.25" customHeight="1">
      <c r="A19" s="110"/>
      <c r="B19" s="111"/>
      <c r="C19" s="111"/>
      <c r="D19" s="111"/>
      <c r="E19" s="111"/>
      <c r="F19" s="111"/>
      <c r="G19" s="111"/>
      <c r="H19" s="106"/>
      <c r="I19" s="106"/>
      <c r="J19" s="98"/>
    </row>
    <row r="20" spans="1:10">
      <c r="A20" s="73" t="s">
        <v>26</v>
      </c>
      <c r="B20" s="73" t="str">
        <f>IF($I$8="","",$I$8)</f>
        <v>01.10.2020 - 31.10.2020</v>
      </c>
      <c r="D20" s="79"/>
      <c r="E20" s="85"/>
      <c r="F20" s="81"/>
      <c r="G20" s="112"/>
      <c r="H20" s="106"/>
      <c r="I20" s="106"/>
      <c r="J20" s="98"/>
    </row>
    <row r="21" spans="1:10" ht="9.9499999999999993" customHeight="1">
      <c r="B21" s="73"/>
      <c r="D21" s="79"/>
      <c r="E21" s="85"/>
      <c r="F21" s="81"/>
      <c r="G21" s="112"/>
      <c r="H21" s="106"/>
      <c r="I21" s="98"/>
      <c r="J21" s="98"/>
    </row>
    <row r="22" spans="1:10" ht="28.5" customHeight="1">
      <c r="A22" s="156" t="s">
        <v>34</v>
      </c>
      <c r="B22" s="156"/>
      <c r="C22" s="156"/>
      <c r="D22" s="156"/>
      <c r="E22" s="156"/>
      <c r="F22" s="156"/>
      <c r="G22" s="156"/>
      <c r="H22" s="106"/>
      <c r="I22" s="106"/>
      <c r="J22" s="98"/>
    </row>
    <row r="23" spans="1:10" ht="9.9499999999999993" customHeight="1">
      <c r="A23" s="113"/>
      <c r="B23" s="113"/>
      <c r="C23" s="113"/>
      <c r="D23" s="114"/>
      <c r="E23" s="115"/>
      <c r="F23" s="114"/>
      <c r="G23" s="114"/>
      <c r="H23" s="106"/>
      <c r="I23" s="106"/>
      <c r="J23" s="98"/>
    </row>
    <row r="24" spans="1:10" s="75" customFormat="1" ht="12.75">
      <c r="A24" s="76"/>
      <c r="B24" s="76"/>
      <c r="C24" s="77"/>
      <c r="D24" s="78"/>
      <c r="E24" s="77"/>
      <c r="F24" s="116" t="s">
        <v>1</v>
      </c>
      <c r="G24" s="117" t="s">
        <v>1</v>
      </c>
      <c r="H24" s="118"/>
      <c r="I24" s="118"/>
      <c r="J24" s="89"/>
    </row>
    <row r="25" spans="1:10" ht="14.25" customHeight="1">
      <c r="A25" s="73"/>
      <c r="B25" s="73"/>
      <c r="D25" s="119"/>
      <c r="E25" s="85"/>
      <c r="F25" s="120"/>
      <c r="G25" s="121"/>
      <c r="H25" s="106"/>
      <c r="I25" s="106"/>
      <c r="J25" s="98"/>
    </row>
    <row r="26" spans="1:10" ht="14.25" customHeight="1">
      <c r="A26" s="70" t="s">
        <v>55</v>
      </c>
      <c r="B26" s="73"/>
      <c r="E26" s="80"/>
      <c r="F26" s="122">
        <v>16183.75</v>
      </c>
      <c r="G26" s="81"/>
      <c r="H26" s="106"/>
      <c r="I26" s="98"/>
      <c r="J26" s="98"/>
    </row>
    <row r="27" spans="1:10" ht="14.25" customHeight="1">
      <c r="A27" s="70" t="s">
        <v>17</v>
      </c>
      <c r="B27" s="73"/>
      <c r="E27" s="123">
        <f>Grunddaten!B14</f>
        <v>0</v>
      </c>
      <c r="F27" s="124">
        <f>(ROUND(-F26*E27*20,0)/20)</f>
        <v>0</v>
      </c>
      <c r="G27" s="81"/>
      <c r="H27" s="106"/>
      <c r="I27" s="98"/>
      <c r="J27" s="98"/>
    </row>
    <row r="28" spans="1:10" ht="14.25" customHeight="1">
      <c r="B28" s="73"/>
      <c r="E28" s="80"/>
      <c r="F28" s="122">
        <f>SUM(F26:F27)</f>
        <v>16183.75</v>
      </c>
      <c r="G28" s="81"/>
      <c r="H28" s="106"/>
      <c r="I28" s="98"/>
      <c r="J28" s="98"/>
    </row>
    <row r="29" spans="1:10" ht="14.25" customHeight="1">
      <c r="A29" s="72"/>
      <c r="B29" s="73"/>
      <c r="E29" s="80"/>
      <c r="F29" s="122"/>
      <c r="G29" s="81"/>
      <c r="H29" s="106"/>
      <c r="I29" s="98"/>
      <c r="J29" s="98"/>
    </row>
    <row r="30" spans="1:10" ht="14.25" customHeight="1">
      <c r="A30" s="72"/>
      <c r="B30" s="73"/>
      <c r="C30" s="125"/>
      <c r="D30" s="126"/>
      <c r="E30" s="123"/>
      <c r="F30" s="124"/>
      <c r="G30" s="127"/>
      <c r="H30" s="106"/>
      <c r="I30" s="106"/>
      <c r="J30" s="98"/>
    </row>
    <row r="31" spans="1:10" ht="14.25" customHeight="1">
      <c r="A31" s="128"/>
      <c r="B31" s="73"/>
      <c r="C31" s="125"/>
      <c r="D31" s="126"/>
      <c r="E31" s="82"/>
      <c r="F31" s="122">
        <f>SUM(F28:F30)</f>
        <v>16183.75</v>
      </c>
      <c r="G31" s="127">
        <f>F31</f>
        <v>16183.75</v>
      </c>
      <c r="H31" s="106"/>
      <c r="I31" s="106"/>
      <c r="J31" s="98"/>
    </row>
    <row r="32" spans="1:10" ht="14.25" customHeight="1">
      <c r="A32" s="71" t="s">
        <v>35</v>
      </c>
      <c r="B32" s="73"/>
      <c r="C32" s="129"/>
      <c r="D32" s="119"/>
      <c r="E32" s="123">
        <v>7.6999999999999999E-2</v>
      </c>
      <c r="F32" s="122"/>
      <c r="G32" s="130">
        <f>ROUND(G31*E32*20,0)/20</f>
        <v>1246.1500000000001</v>
      </c>
      <c r="H32" s="106"/>
      <c r="I32" s="106"/>
      <c r="J32" s="98"/>
    </row>
    <row r="33" spans="1:10" ht="18" customHeight="1">
      <c r="A33" s="131" t="s">
        <v>2</v>
      </c>
      <c r="B33" s="132"/>
      <c r="C33" s="133"/>
      <c r="D33" s="134"/>
      <c r="E33" s="135"/>
      <c r="F33" s="136"/>
      <c r="G33" s="137">
        <f>SUM(G31:G32)</f>
        <v>17429.900000000001</v>
      </c>
      <c r="H33" s="106"/>
      <c r="I33" s="106"/>
      <c r="J33" s="98"/>
    </row>
    <row r="34" spans="1:10" ht="14.25" customHeight="1">
      <c r="B34" s="73"/>
      <c r="E34" s="85"/>
      <c r="F34" s="122"/>
      <c r="G34" s="81"/>
      <c r="H34" s="106"/>
      <c r="I34" s="106"/>
      <c r="J34" s="98"/>
    </row>
    <row r="35" spans="1:10" ht="14.25" customHeight="1">
      <c r="B35" s="73"/>
      <c r="E35" s="85"/>
      <c r="F35" s="122"/>
      <c r="G35" s="81"/>
      <c r="H35" s="106"/>
      <c r="I35" s="106"/>
      <c r="J35" s="98"/>
    </row>
    <row r="36" spans="1:10" ht="14.25" customHeight="1">
      <c r="B36" s="73"/>
      <c r="E36" s="85"/>
      <c r="F36" s="122"/>
      <c r="G36" s="81"/>
      <c r="H36" s="106"/>
      <c r="I36" s="106"/>
      <c r="J36" s="98"/>
    </row>
    <row r="37" spans="1:10" ht="14.25" customHeight="1">
      <c r="B37" s="73"/>
      <c r="E37" s="85"/>
      <c r="F37" s="122"/>
      <c r="G37" s="81"/>
      <c r="H37" s="106"/>
      <c r="I37" s="106"/>
      <c r="J37" s="98"/>
    </row>
    <row r="38" spans="1:10" ht="14.25" customHeight="1">
      <c r="B38" s="73"/>
      <c r="E38" s="85"/>
      <c r="F38" s="122"/>
      <c r="G38" s="81"/>
      <c r="H38" s="106"/>
      <c r="I38" s="106"/>
      <c r="J38" s="98"/>
    </row>
    <row r="39" spans="1:10" ht="14.25" customHeight="1">
      <c r="B39" s="73"/>
      <c r="E39" s="85"/>
      <c r="F39" s="122"/>
      <c r="G39" s="81"/>
      <c r="H39" s="106"/>
      <c r="I39" s="106"/>
      <c r="J39" s="98"/>
    </row>
    <row r="40" spans="1:10" ht="14.25" customHeight="1">
      <c r="B40" s="73"/>
      <c r="E40" s="85"/>
      <c r="F40" s="122"/>
      <c r="G40" s="81"/>
      <c r="H40" s="106"/>
      <c r="I40" s="106"/>
      <c r="J40" s="98"/>
    </row>
    <row r="41" spans="1:10" ht="14.25" customHeight="1">
      <c r="B41" s="73"/>
      <c r="E41" s="85"/>
      <c r="F41" s="122"/>
      <c r="G41" s="81"/>
      <c r="H41" s="106"/>
      <c r="I41" s="106"/>
      <c r="J41" s="98"/>
    </row>
    <row r="42" spans="1:10" ht="14.25" customHeight="1">
      <c r="B42" s="73"/>
      <c r="E42" s="85"/>
      <c r="F42" s="122"/>
      <c r="G42" s="81"/>
      <c r="H42" s="106"/>
      <c r="I42" s="106"/>
      <c r="J42" s="98"/>
    </row>
    <row r="43" spans="1:10" ht="14.25" customHeight="1">
      <c r="B43" s="73"/>
      <c r="E43" s="85"/>
      <c r="F43" s="122"/>
      <c r="G43" s="81"/>
      <c r="H43" s="106"/>
      <c r="I43" s="106"/>
      <c r="J43" s="98"/>
    </row>
    <row r="44" spans="1:10" ht="14.25" customHeight="1">
      <c r="B44" s="73"/>
      <c r="E44" s="85"/>
      <c r="F44" s="122"/>
      <c r="G44" s="81"/>
      <c r="H44" s="106"/>
      <c r="I44" s="106"/>
      <c r="J44" s="98"/>
    </row>
    <row r="45" spans="1:10" ht="54" customHeight="1">
      <c r="A45" s="98"/>
      <c r="B45" s="98"/>
      <c r="C45" s="98"/>
      <c r="D45" s="98"/>
      <c r="E45" s="98"/>
      <c r="F45" s="98"/>
      <c r="G45" s="98"/>
      <c r="H45" s="98"/>
      <c r="I45" s="98"/>
      <c r="J45" s="98"/>
    </row>
  </sheetData>
  <mergeCells count="2">
    <mergeCell ref="A9:A10"/>
    <mergeCell ref="A22:G22"/>
  </mergeCells>
  <conditionalFormatting sqref="I5:I8">
    <cfRule type="expression" dxfId="7" priority="2">
      <formula>I5=""</formula>
    </cfRule>
  </conditionalFormatting>
  <conditionalFormatting sqref="I4">
    <cfRule type="expression" dxfId="6" priority="1">
      <formula>I4=""</formula>
    </cfRule>
  </conditionalFormatting>
  <pageMargins left="0.94488188976377963" right="0.70866141732283472" top="0.43307086614173229" bottom="0.19685039370078741" header="1.1417322834645669" footer="0.31496062992125984"/>
  <pageSetup paperSize="9" orientation="portrait" r:id="rId1"/>
  <headerFooter differentFirst="1" scaleWithDoc="0">
    <oddHeader>&amp;R&amp;G</oddHeader>
    <oddFooter xml:space="preserve">&amp;L&amp;8&amp;G
&amp;9&amp;F
&amp;R&amp;8
&amp;9Seite &amp;P
</oddFooter>
    <firstHeader>&amp;R&amp;G</firstHeader>
    <firstFooter>&amp;L&amp;G&amp;R&amp;7
Seite &amp;P / &amp;N</firstFooter>
  </headerFooter>
  <drawing r:id="rId2"/>
  <legacyDrawing r:id="rId3"/>
  <legacyDrawingHF r:id="rId4"/>
  <oleObjects>
    <mc:AlternateContent xmlns:mc="http://schemas.openxmlformats.org/markup-compatibility/2006">
      <mc:Choice Requires="x14">
        <oleObject progId="Word.Document.6" shapeId="46081" r:id="rId5">
          <objectPr defaultSize="0" autoLine="0" autoPict="0" r:id="rId6">
            <anchor>
              <from>
                <xdr:col>0</xdr:col>
                <xdr:colOff>0</xdr:colOff>
                <xdr:row>97</xdr:row>
                <xdr:rowOff>28575</xdr:rowOff>
              </from>
              <to>
                <xdr:col>6</xdr:col>
                <xdr:colOff>790575</xdr:colOff>
                <xdr:row>98</xdr:row>
                <xdr:rowOff>152400</xdr:rowOff>
              </to>
            </anchor>
          </objectPr>
        </oleObject>
      </mc:Choice>
      <mc:Fallback>
        <oleObject progId="Word.Document.6" shapeId="46081" r:id="rId5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3" r:id="rId7" name="Button 3">
              <controlPr defaultSize="0" print="0" autoFill="0" autoPict="0" macro="[2]!Stempel_Size">
                <anchor moveWithCells="1" sizeWithCells="1">
                  <from>
                    <xdr:col>0</xdr:col>
                    <xdr:colOff>38100</xdr:colOff>
                    <xdr:row>0</xdr:row>
                    <xdr:rowOff>85725</xdr:rowOff>
                  </from>
                  <to>
                    <xdr:col>0</xdr:col>
                    <xdr:colOff>1085850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3]!Stempel_Size">
                <anchor moveWithCells="1" sizeWithCells="1">
                  <from>
                    <xdr:col>0</xdr:col>
                    <xdr:colOff>38100</xdr:colOff>
                    <xdr:row>0</xdr:row>
                    <xdr:rowOff>85725</xdr:rowOff>
                  </from>
                  <to>
                    <xdr:col>0</xdr:col>
                    <xdr:colOff>1085850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49"/>
  <sheetViews>
    <sheetView showGridLines="0" zoomScaleNormal="100" workbookViewId="0">
      <selection activeCell="B30" sqref="B30"/>
    </sheetView>
  </sheetViews>
  <sheetFormatPr baseColWidth="10" defaultRowHeight="14.25"/>
  <cols>
    <col min="1" max="1" width="18.7109375" style="70" customWidth="1"/>
    <col min="2" max="2" width="12.85546875" style="70" customWidth="1"/>
    <col min="3" max="3" width="6.140625" style="70" customWidth="1"/>
    <col min="4" max="4" width="9.7109375" style="70" customWidth="1"/>
    <col min="5" max="5" width="12.7109375" style="70" customWidth="1"/>
    <col min="6" max="7" width="12.85546875" style="70" customWidth="1"/>
    <col min="8" max="8" width="21.85546875" style="70" customWidth="1"/>
    <col min="9" max="9" width="30.7109375" style="70" customWidth="1"/>
    <col min="10" max="16384" width="11.42578125" style="70"/>
  </cols>
  <sheetData>
    <row r="1" spans="1:10" ht="129.94999999999999" customHeight="1">
      <c r="H1" s="96" t="s">
        <v>21</v>
      </c>
      <c r="I1" s="97"/>
      <c r="J1" s="98"/>
    </row>
    <row r="2" spans="1:10">
      <c r="A2" s="71" t="str">
        <f>IF(Grunddaten!B8="","",Grunddaten!B8)</f>
        <v>INGE EP RF-BB</v>
      </c>
      <c r="E2" s="70" t="str">
        <f>IF(Grunddaten!B17="","","Versand an:")</f>
        <v/>
      </c>
      <c r="H2" s="98"/>
      <c r="I2" s="98"/>
      <c r="J2" s="98"/>
    </row>
    <row r="3" spans="1:10">
      <c r="A3" s="71" t="str">
        <f>IF(Grunddaten!B9="","",Grunddaten!B9)</f>
        <v>c/o Aegerter &amp; Bosshardt AG</v>
      </c>
      <c r="E3" s="70" t="str">
        <f>IF(Grunddaten!B17="","",Grunddaten!B17)</f>
        <v/>
      </c>
      <c r="H3" s="98"/>
      <c r="I3" s="98"/>
      <c r="J3" s="98"/>
    </row>
    <row r="4" spans="1:10">
      <c r="A4" s="71" t="str">
        <f>IF(Grunddaten!B10="","",Grunddaten!B10)</f>
        <v>Hochstrasse 48</v>
      </c>
      <c r="E4" s="70" t="str">
        <f>IF(Grunddaten!B18="","",Grunddaten!B18)</f>
        <v/>
      </c>
      <c r="H4" s="98" t="s">
        <v>22</v>
      </c>
      <c r="I4" s="99" t="s">
        <v>50</v>
      </c>
      <c r="J4" s="98"/>
    </row>
    <row r="5" spans="1:10">
      <c r="A5" s="71" t="str">
        <f>IF(Grunddaten!B11="","",Grunddaten!B11)</f>
        <v>4002 Basel</v>
      </c>
      <c r="E5" s="70" t="str">
        <f>IF(Grunddaten!B19="","",Grunddaten!B19)</f>
        <v/>
      </c>
      <c r="H5" s="98" t="s">
        <v>23</v>
      </c>
      <c r="I5" s="100" t="s">
        <v>38</v>
      </c>
      <c r="J5" s="98"/>
    </row>
    <row r="6" spans="1:10">
      <c r="A6" s="71" t="str">
        <f>IF(Grunddaten!B12="","",Grunddaten!B12)</f>
        <v/>
      </c>
      <c r="E6" s="70" t="str">
        <f>IF(Grunddaten!B20="","",Grunddaten!B20)</f>
        <v/>
      </c>
      <c r="H6" s="98" t="s">
        <v>24</v>
      </c>
      <c r="I6" s="101"/>
      <c r="J6" s="98"/>
    </row>
    <row r="7" spans="1:10">
      <c r="A7" s="71"/>
      <c r="E7" s="70" t="str">
        <f>IF(Grunddaten!B21="","",Grunddaten!B21)</f>
        <v/>
      </c>
      <c r="H7" s="98" t="s">
        <v>25</v>
      </c>
      <c r="I7" s="102"/>
      <c r="J7" s="98"/>
    </row>
    <row r="8" spans="1:10" ht="15">
      <c r="A8" s="71"/>
      <c r="H8" s="98" t="s">
        <v>26</v>
      </c>
      <c r="I8" s="100" t="s">
        <v>54</v>
      </c>
      <c r="J8" s="88"/>
    </row>
    <row r="9" spans="1:10" ht="14.25" customHeight="1">
      <c r="A9" s="155" t="s">
        <v>27</v>
      </c>
      <c r="E9" s="74" t="s">
        <v>28</v>
      </c>
      <c r="F9" s="75" t="s">
        <v>29</v>
      </c>
      <c r="H9" s="98"/>
      <c r="I9" s="98"/>
      <c r="J9" s="98"/>
    </row>
    <row r="10" spans="1:10">
      <c r="A10" s="155"/>
      <c r="E10" s="74" t="s">
        <v>30</v>
      </c>
      <c r="F10" s="74" t="str">
        <f>IF(I6="","",I6)</f>
        <v/>
      </c>
      <c r="H10" s="98"/>
      <c r="I10" s="98"/>
      <c r="J10" s="98"/>
    </row>
    <row r="11" spans="1:10">
      <c r="E11" s="74" t="s">
        <v>31</v>
      </c>
      <c r="F11" s="103" t="str">
        <f>IF(I7="","",I7)</f>
        <v/>
      </c>
      <c r="H11" s="98"/>
      <c r="I11" s="98"/>
      <c r="J11" s="98"/>
    </row>
    <row r="12" spans="1:10">
      <c r="C12" s="73"/>
      <c r="E12" s="75" t="s">
        <v>32</v>
      </c>
      <c r="F12" s="75" t="str">
        <f>Grunddaten!$B$3&amp;$I$4&amp;" / "&amp;Grunddaten!$B$4&amp;" / "&amp;$I$5</f>
        <v>9890.500 / FCh / WN</v>
      </c>
      <c r="G12" s="85"/>
      <c r="H12" s="98"/>
      <c r="I12" s="98"/>
      <c r="J12" s="98"/>
    </row>
    <row r="13" spans="1:10" s="85" customFormat="1">
      <c r="C13" s="104"/>
      <c r="D13" s="104"/>
      <c r="E13" s="75" t="s">
        <v>33</v>
      </c>
      <c r="F13" s="105" t="str">
        <f>Grunddaten!B6&amp;" Tage netto"</f>
        <v>45 Tage netto</v>
      </c>
      <c r="G13" s="81"/>
      <c r="H13" s="106"/>
      <c r="I13" s="106"/>
      <c r="J13" s="106"/>
    </row>
    <row r="14" spans="1:10" ht="9.9499999999999993" customHeight="1">
      <c r="A14" s="71"/>
      <c r="B14" s="71"/>
      <c r="C14" s="73"/>
      <c r="E14" s="85"/>
      <c r="F14" s="85"/>
      <c r="G14" s="85"/>
      <c r="H14" s="88"/>
      <c r="I14" s="88"/>
      <c r="J14" s="88"/>
    </row>
    <row r="15" spans="1:10" s="109" customFormat="1" ht="15">
      <c r="A15" s="107" t="s">
        <v>9</v>
      </c>
      <c r="B15" s="107"/>
      <c r="C15" s="107"/>
      <c r="D15" s="107"/>
      <c r="E15" s="107"/>
      <c r="F15" s="107"/>
      <c r="G15" s="107"/>
      <c r="H15" s="108"/>
      <c r="I15" s="106"/>
      <c r="J15" s="98"/>
    </row>
    <row r="16" spans="1:10">
      <c r="A16" s="110" t="s">
        <v>42</v>
      </c>
      <c r="B16" s="110"/>
      <c r="C16" s="110"/>
      <c r="D16" s="110"/>
      <c r="E16" s="110"/>
      <c r="F16" s="110"/>
      <c r="G16" s="110"/>
      <c r="H16" s="106"/>
      <c r="I16" s="98"/>
      <c r="J16" s="98"/>
    </row>
    <row r="17" spans="1:10">
      <c r="A17" s="110" t="s">
        <v>41</v>
      </c>
      <c r="B17" s="111"/>
      <c r="C17" s="111"/>
      <c r="D17" s="111"/>
      <c r="E17" s="111"/>
      <c r="F17" s="111"/>
      <c r="G17" s="111"/>
      <c r="H17" s="106"/>
      <c r="I17" s="98"/>
      <c r="J17" s="98"/>
    </row>
    <row r="18" spans="1:10">
      <c r="A18" s="110" t="s">
        <v>51</v>
      </c>
      <c r="B18" s="111"/>
      <c r="C18" s="111"/>
      <c r="D18" s="111"/>
      <c r="E18" s="111"/>
      <c r="F18" s="111"/>
      <c r="G18" s="111"/>
      <c r="H18" s="106"/>
      <c r="I18" s="106"/>
      <c r="J18" s="98"/>
    </row>
    <row r="19" spans="1:10" ht="14.25" customHeight="1">
      <c r="A19" s="110"/>
      <c r="B19" s="111"/>
      <c r="C19" s="111"/>
      <c r="D19" s="111"/>
      <c r="E19" s="111"/>
      <c r="F19" s="111"/>
      <c r="G19" s="111"/>
      <c r="H19" s="106"/>
      <c r="I19" s="106"/>
      <c r="J19" s="98"/>
    </row>
    <row r="20" spans="1:10">
      <c r="A20" s="73" t="s">
        <v>26</v>
      </c>
      <c r="B20" s="73" t="str">
        <f>IF($I$8="","",$I$8)</f>
        <v>01.11.2019 - 30.11.2019</v>
      </c>
      <c r="D20" s="79"/>
      <c r="E20" s="85"/>
      <c r="F20" s="81"/>
      <c r="G20" s="112"/>
      <c r="H20" s="106"/>
      <c r="I20" s="106"/>
      <c r="J20" s="98"/>
    </row>
    <row r="21" spans="1:10" ht="9.9499999999999993" customHeight="1">
      <c r="B21" s="73"/>
      <c r="D21" s="79"/>
      <c r="E21" s="85"/>
      <c r="F21" s="81"/>
      <c r="G21" s="112"/>
      <c r="H21" s="106"/>
      <c r="I21" s="98"/>
      <c r="J21" s="98"/>
    </row>
    <row r="22" spans="1:10" ht="28.5" customHeight="1">
      <c r="A22" s="156" t="s">
        <v>34</v>
      </c>
      <c r="B22" s="156"/>
      <c r="C22" s="156"/>
      <c r="D22" s="156"/>
      <c r="E22" s="156"/>
      <c r="F22" s="156"/>
      <c r="G22" s="156"/>
      <c r="H22" s="106"/>
      <c r="I22" s="106"/>
      <c r="J22" s="98"/>
    </row>
    <row r="23" spans="1:10" ht="9.9499999999999993" customHeight="1">
      <c r="A23" s="113"/>
      <c r="B23" s="113"/>
      <c r="C23" s="113"/>
      <c r="D23" s="114"/>
      <c r="E23" s="115"/>
      <c r="F23" s="114"/>
      <c r="G23" s="114"/>
      <c r="H23" s="106"/>
      <c r="I23" s="106"/>
      <c r="J23" s="98"/>
    </row>
    <row r="24" spans="1:10" s="75" customFormat="1" ht="12.75">
      <c r="A24" s="76"/>
      <c r="B24" s="76"/>
      <c r="C24" s="77"/>
      <c r="D24" s="78"/>
      <c r="E24" s="77"/>
      <c r="F24" s="116" t="s">
        <v>1</v>
      </c>
      <c r="G24" s="117" t="s">
        <v>1</v>
      </c>
      <c r="H24" s="118"/>
      <c r="I24" s="118"/>
      <c r="J24" s="89"/>
    </row>
    <row r="25" spans="1:10" ht="14.25" customHeight="1">
      <c r="A25" s="73"/>
      <c r="B25" s="73"/>
      <c r="D25" s="119"/>
      <c r="E25" s="85"/>
      <c r="F25" s="120"/>
      <c r="G25" s="121"/>
      <c r="H25" s="106"/>
      <c r="I25" s="106"/>
      <c r="J25" s="98"/>
    </row>
    <row r="26" spans="1:10" ht="14.25" customHeight="1">
      <c r="A26" s="70" t="s">
        <v>5</v>
      </c>
      <c r="B26" s="73"/>
      <c r="E26" s="80"/>
      <c r="F26" s="122">
        <v>1665.75</v>
      </c>
      <c r="G26" s="81"/>
      <c r="H26" s="106"/>
      <c r="I26" s="98"/>
      <c r="J26" s="98"/>
    </row>
    <row r="27" spans="1:10" ht="14.25" customHeight="1">
      <c r="A27" s="70" t="s">
        <v>17</v>
      </c>
      <c r="B27" s="73"/>
      <c r="E27" s="123">
        <f>Grunddaten!B14</f>
        <v>0</v>
      </c>
      <c r="F27" s="124">
        <f>(ROUND(-F26*E27*20,0)/20)</f>
        <v>0</v>
      </c>
      <c r="G27" s="81"/>
      <c r="H27" s="106"/>
      <c r="I27" s="98"/>
      <c r="J27" s="98"/>
    </row>
    <row r="28" spans="1:10" ht="14.25" customHeight="1">
      <c r="B28" s="73"/>
      <c r="E28" s="80"/>
      <c r="F28" s="122">
        <f>SUM(F26:F27)</f>
        <v>1665.75</v>
      </c>
      <c r="G28" s="81"/>
      <c r="H28" s="106"/>
      <c r="I28" s="98"/>
      <c r="J28" s="98"/>
    </row>
    <row r="29" spans="1:10" ht="14.25" customHeight="1">
      <c r="A29" s="72" t="s">
        <v>18</v>
      </c>
      <c r="B29" s="73"/>
      <c r="E29" s="80"/>
      <c r="F29" s="122"/>
      <c r="G29" s="81"/>
      <c r="H29" s="106"/>
      <c r="I29" s="98"/>
      <c r="J29" s="98"/>
    </row>
    <row r="30" spans="1:10" ht="14.25" customHeight="1">
      <c r="A30" s="72" t="s">
        <v>52</v>
      </c>
      <c r="B30" s="73"/>
      <c r="E30" s="80"/>
      <c r="F30" s="142">
        <v>0</v>
      </c>
      <c r="G30" s="81"/>
      <c r="H30" s="106"/>
      <c r="I30" s="98"/>
      <c r="J30" s="98"/>
    </row>
    <row r="31" spans="1:10" ht="14.25" customHeight="1">
      <c r="A31" s="72"/>
      <c r="B31" s="73"/>
      <c r="E31" s="80"/>
      <c r="F31" s="143"/>
      <c r="G31" s="81"/>
      <c r="H31" s="106"/>
      <c r="I31" s="98"/>
      <c r="J31" s="98"/>
    </row>
    <row r="32" spans="1:10" ht="14.25" customHeight="1">
      <c r="B32" s="73"/>
      <c r="C32" s="125"/>
      <c r="D32" s="126"/>
      <c r="E32" s="123"/>
      <c r="F32" s="141">
        <f>SUM(F30:F31)</f>
        <v>0</v>
      </c>
      <c r="G32" s="127"/>
      <c r="H32" s="106"/>
      <c r="I32" s="106"/>
      <c r="J32" s="98"/>
    </row>
    <row r="33" spans="1:10" ht="14.25" customHeight="1">
      <c r="B33" s="73"/>
      <c r="C33" s="125"/>
      <c r="D33" s="126"/>
      <c r="E33" s="123"/>
      <c r="F33" s="122"/>
      <c r="G33" s="127"/>
      <c r="H33" s="106"/>
      <c r="I33" s="106"/>
      <c r="J33" s="98"/>
    </row>
    <row r="34" spans="1:10" ht="14.25" customHeight="1">
      <c r="A34" s="128"/>
      <c r="B34" s="73"/>
      <c r="C34" s="125"/>
      <c r="D34" s="126"/>
      <c r="E34" s="82"/>
      <c r="F34" s="122">
        <f>SUM(F28)+F32</f>
        <v>1665.75</v>
      </c>
      <c r="G34" s="127">
        <f>F34</f>
        <v>1665.75</v>
      </c>
      <c r="H34" s="106"/>
      <c r="I34" s="106"/>
      <c r="J34" s="98"/>
    </row>
    <row r="35" spans="1:10" ht="14.25" customHeight="1">
      <c r="A35" s="71" t="s">
        <v>35</v>
      </c>
      <c r="B35" s="73"/>
      <c r="C35" s="129"/>
      <c r="D35" s="119"/>
      <c r="E35" s="123">
        <v>7.6999999999999999E-2</v>
      </c>
      <c r="F35" s="122"/>
      <c r="G35" s="130">
        <f>ROUND(G34*E35*20,0)/20</f>
        <v>128.25</v>
      </c>
      <c r="H35" s="106"/>
      <c r="I35" s="106"/>
      <c r="J35" s="98"/>
    </row>
    <row r="36" spans="1:10" ht="18" customHeight="1">
      <c r="A36" s="131" t="s">
        <v>2</v>
      </c>
      <c r="B36" s="132"/>
      <c r="C36" s="133"/>
      <c r="D36" s="134"/>
      <c r="E36" s="135"/>
      <c r="F36" s="136"/>
      <c r="G36" s="137">
        <f>SUM(G34:G35)</f>
        <v>1794</v>
      </c>
      <c r="H36" s="106"/>
      <c r="I36" s="106"/>
      <c r="J36" s="98"/>
    </row>
    <row r="37" spans="1:10" ht="14.25" customHeight="1">
      <c r="B37" s="73"/>
      <c r="E37" s="85"/>
      <c r="F37" s="122"/>
      <c r="G37" s="81"/>
      <c r="H37" s="106"/>
      <c r="I37" s="106"/>
      <c r="J37" s="98"/>
    </row>
    <row r="38" spans="1:10" ht="14.25" customHeight="1">
      <c r="B38" s="73"/>
      <c r="E38" s="85"/>
      <c r="F38" s="122"/>
      <c r="G38" s="81"/>
      <c r="H38" s="106"/>
      <c r="I38" s="106"/>
      <c r="J38" s="98"/>
    </row>
    <row r="39" spans="1:10" ht="14.25" customHeight="1">
      <c r="B39" s="73"/>
      <c r="E39" s="85"/>
      <c r="F39" s="122"/>
      <c r="G39" s="81"/>
      <c r="H39" s="106"/>
      <c r="I39" s="106"/>
      <c r="J39" s="98"/>
    </row>
    <row r="40" spans="1:10" ht="14.25" customHeight="1">
      <c r="B40" s="73"/>
      <c r="E40" s="85"/>
      <c r="F40" s="122"/>
      <c r="G40" s="81"/>
      <c r="H40" s="106"/>
      <c r="I40" s="106"/>
      <c r="J40" s="98"/>
    </row>
    <row r="41" spans="1:10" ht="14.25" customHeight="1">
      <c r="B41" s="73"/>
      <c r="E41" s="85"/>
      <c r="F41" s="122"/>
      <c r="G41" s="81"/>
      <c r="H41" s="106"/>
      <c r="I41" s="106"/>
      <c r="J41" s="98"/>
    </row>
    <row r="42" spans="1:10" ht="14.25" customHeight="1">
      <c r="B42" s="73"/>
      <c r="E42" s="85"/>
      <c r="F42" s="122"/>
      <c r="G42" s="81"/>
      <c r="H42" s="106"/>
      <c r="I42" s="106"/>
      <c r="J42" s="98"/>
    </row>
    <row r="43" spans="1:10" ht="14.25" customHeight="1">
      <c r="B43" s="73"/>
      <c r="E43" s="85"/>
      <c r="F43" s="122"/>
      <c r="G43" s="81"/>
      <c r="H43" s="106"/>
      <c r="I43" s="106"/>
      <c r="J43" s="98"/>
    </row>
    <row r="44" spans="1:10" ht="14.25" customHeight="1">
      <c r="B44" s="73"/>
      <c r="E44" s="85"/>
      <c r="F44" s="122"/>
      <c r="G44" s="81"/>
      <c r="H44" s="106"/>
      <c r="I44" s="106"/>
      <c r="J44" s="98"/>
    </row>
    <row r="45" spans="1:10" ht="14.25" customHeight="1">
      <c r="B45" s="73"/>
      <c r="E45" s="85"/>
      <c r="F45" s="122"/>
      <c r="G45" s="81"/>
      <c r="H45" s="106"/>
      <c r="I45" s="106"/>
      <c r="J45" s="98"/>
    </row>
    <row r="46" spans="1:10" ht="14.25" customHeight="1">
      <c r="B46" s="73"/>
      <c r="E46" s="85"/>
      <c r="F46" s="122"/>
      <c r="G46" s="81"/>
      <c r="H46" s="106"/>
      <c r="I46" s="106"/>
      <c r="J46" s="98"/>
    </row>
    <row r="47" spans="1:10" ht="14.25" customHeight="1">
      <c r="B47" s="73"/>
      <c r="E47" s="85"/>
      <c r="F47" s="122"/>
      <c r="G47" s="81"/>
      <c r="H47" s="106"/>
      <c r="I47" s="106"/>
      <c r="J47" s="98"/>
    </row>
    <row r="48" spans="1:10" ht="14.25" customHeight="1">
      <c r="B48" s="73"/>
      <c r="E48" s="85"/>
      <c r="F48" s="122"/>
      <c r="G48" s="81"/>
      <c r="H48" s="106"/>
      <c r="I48" s="106"/>
      <c r="J48" s="98"/>
    </row>
    <row r="49" spans="1:10" ht="54" customHeight="1">
      <c r="A49" s="98"/>
      <c r="B49" s="98"/>
      <c r="C49" s="98"/>
      <c r="D49" s="98"/>
      <c r="E49" s="98"/>
      <c r="F49" s="98"/>
      <c r="G49" s="98"/>
      <c r="H49" s="98"/>
      <c r="I49" s="98"/>
      <c r="J49" s="98"/>
    </row>
  </sheetData>
  <mergeCells count="2">
    <mergeCell ref="A9:A10"/>
    <mergeCell ref="A22:G22"/>
  </mergeCells>
  <conditionalFormatting sqref="I5:I8">
    <cfRule type="expression" dxfId="5" priority="2">
      <formula>I5=""</formula>
    </cfRule>
  </conditionalFormatting>
  <conditionalFormatting sqref="I4">
    <cfRule type="expression" dxfId="4" priority="1">
      <formula>I4=""</formula>
    </cfRule>
  </conditionalFormatting>
  <pageMargins left="0.94488188976377963" right="0.70866141732283472" top="0.43307086614173229" bottom="0.19685039370078741" header="1.1417322834645669" footer="0.31496062992125984"/>
  <pageSetup paperSize="9" orientation="portrait" r:id="rId1"/>
  <headerFooter differentFirst="1" scaleWithDoc="0">
    <oddHeader>&amp;R&amp;G</oddHeader>
    <oddFooter xml:space="preserve">&amp;L&amp;8&amp;G
&amp;9&amp;F
&amp;R&amp;8
&amp;9Seite &amp;P
</oddFooter>
    <firstHeader>&amp;R&amp;G</firstHeader>
    <firstFooter>&amp;L&amp;G&amp;R&amp;7
Seite &amp;P / &amp;N</firstFooter>
  </headerFooter>
  <drawing r:id="rId2"/>
  <legacyDrawing r:id="rId3"/>
  <legacyDrawingHF r:id="rId4"/>
  <oleObjects>
    <mc:AlternateContent xmlns:mc="http://schemas.openxmlformats.org/markup-compatibility/2006">
      <mc:Choice Requires="x14">
        <oleObject progId="Word.Document.6" shapeId="50177" r:id="rId5">
          <objectPr defaultSize="0" autoLine="0" autoPict="0" r:id="rId6">
            <anchor>
              <from>
                <xdr:col>0</xdr:col>
                <xdr:colOff>0</xdr:colOff>
                <xdr:row>97</xdr:row>
                <xdr:rowOff>28575</xdr:rowOff>
              </from>
              <to>
                <xdr:col>6</xdr:col>
                <xdr:colOff>790575</xdr:colOff>
                <xdr:row>98</xdr:row>
                <xdr:rowOff>152400</xdr:rowOff>
              </to>
            </anchor>
          </objectPr>
        </oleObject>
      </mc:Choice>
      <mc:Fallback>
        <oleObject progId="Word.Document.6" shapeId="50177" r:id="rId5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8" r:id="rId7" name="Button 2">
              <controlPr defaultSize="0" print="0" autoFill="0" autoPict="0" macro="[2]!Stempel_Size">
                <anchor moveWithCells="1" sizeWithCells="1">
                  <from>
                    <xdr:col>0</xdr:col>
                    <xdr:colOff>38100</xdr:colOff>
                    <xdr:row>0</xdr:row>
                    <xdr:rowOff>85725</xdr:rowOff>
                  </from>
                  <to>
                    <xdr:col>0</xdr:col>
                    <xdr:colOff>1085850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8" name="Button 3">
              <controlPr defaultSize="0" print="0" autoFill="0" autoPict="0" macro="[3]!Stempel_Size">
                <anchor moveWithCells="1" sizeWithCells="1">
                  <from>
                    <xdr:col>0</xdr:col>
                    <xdr:colOff>38100</xdr:colOff>
                    <xdr:row>0</xdr:row>
                    <xdr:rowOff>85725</xdr:rowOff>
                  </from>
                  <to>
                    <xdr:col>0</xdr:col>
                    <xdr:colOff>1085850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J43"/>
  <sheetViews>
    <sheetView showGridLines="0" zoomScaleNormal="100" workbookViewId="0">
      <selection activeCell="B39" sqref="B39"/>
    </sheetView>
  </sheetViews>
  <sheetFormatPr baseColWidth="10" defaultRowHeight="14.25"/>
  <cols>
    <col min="1" max="1" width="18.7109375" style="70" customWidth="1"/>
    <col min="2" max="2" width="12.85546875" style="70" customWidth="1"/>
    <col min="3" max="3" width="6.140625" style="70" customWidth="1"/>
    <col min="4" max="4" width="9.7109375" style="70" customWidth="1"/>
    <col min="5" max="5" width="12.7109375" style="70" customWidth="1"/>
    <col min="6" max="7" width="12.85546875" style="70" customWidth="1"/>
    <col min="8" max="8" width="21.85546875" style="70" customWidth="1"/>
    <col min="9" max="9" width="30.7109375" style="70" customWidth="1"/>
    <col min="10" max="16384" width="11.42578125" style="70"/>
  </cols>
  <sheetData>
    <row r="1" spans="1:10" ht="129.94999999999999" customHeight="1">
      <c r="H1" s="96" t="s">
        <v>21</v>
      </c>
      <c r="I1" s="97"/>
      <c r="J1" s="98"/>
    </row>
    <row r="2" spans="1:10">
      <c r="A2" s="71" t="str">
        <f>IF(Grunddaten!B8="","",Grunddaten!B8)</f>
        <v>INGE EP RF-BB</v>
      </c>
      <c r="E2" s="70" t="str">
        <f>IF(Grunddaten!B17="","","Versand an:")</f>
        <v/>
      </c>
      <c r="H2" s="98"/>
      <c r="I2" s="98"/>
      <c r="J2" s="98"/>
    </row>
    <row r="3" spans="1:10">
      <c r="A3" s="71" t="str">
        <f>IF(Grunddaten!B9="","",Grunddaten!B9)</f>
        <v>c/o Aegerter &amp; Bosshardt AG</v>
      </c>
      <c r="E3" s="70" t="str">
        <f>IF(Grunddaten!B17="","",Grunddaten!B17)</f>
        <v/>
      </c>
      <c r="H3" s="98"/>
      <c r="I3" s="98"/>
      <c r="J3" s="98"/>
    </row>
    <row r="4" spans="1:10">
      <c r="A4" s="71" t="str">
        <f>IF(Grunddaten!B10="","",Grunddaten!B10)</f>
        <v>Hochstrasse 48</v>
      </c>
      <c r="E4" s="70" t="str">
        <f>IF(Grunddaten!B18="","",Grunddaten!B18)</f>
        <v/>
      </c>
      <c r="H4" s="98" t="s">
        <v>22</v>
      </c>
      <c r="I4" s="99" t="s">
        <v>45</v>
      </c>
      <c r="J4" s="98"/>
    </row>
    <row r="5" spans="1:10">
      <c r="A5" s="71" t="str">
        <f>IF(Grunddaten!B11="","",Grunddaten!B11)</f>
        <v>4002 Basel</v>
      </c>
      <c r="E5" s="70" t="str">
        <f>IF(Grunddaten!B19="","",Grunddaten!B19)</f>
        <v/>
      </c>
      <c r="H5" s="98" t="s">
        <v>23</v>
      </c>
      <c r="I5" s="100" t="s">
        <v>38</v>
      </c>
      <c r="J5" s="98"/>
    </row>
    <row r="6" spans="1:10">
      <c r="A6" s="71" t="str">
        <f>IF(Grunddaten!B12="","",Grunddaten!B12)</f>
        <v/>
      </c>
      <c r="E6" s="70" t="str">
        <f>IF(Grunddaten!B20="","",Grunddaten!B20)</f>
        <v/>
      </c>
      <c r="H6" s="98" t="s">
        <v>24</v>
      </c>
      <c r="I6" s="101"/>
      <c r="J6" s="98"/>
    </row>
    <row r="7" spans="1:10">
      <c r="A7" s="71"/>
      <c r="E7" s="70" t="str">
        <f>IF(Grunddaten!B21="","",Grunddaten!B21)</f>
        <v/>
      </c>
      <c r="H7" s="98" t="s">
        <v>25</v>
      </c>
      <c r="I7" s="102">
        <v>43518</v>
      </c>
      <c r="J7" s="98"/>
    </row>
    <row r="8" spans="1:10" ht="15">
      <c r="A8" s="71"/>
      <c r="H8" s="98" t="s">
        <v>26</v>
      </c>
      <c r="I8" s="100" t="s">
        <v>44</v>
      </c>
      <c r="J8" s="88"/>
    </row>
    <row r="9" spans="1:10" ht="14.25" customHeight="1">
      <c r="A9" s="155" t="s">
        <v>27</v>
      </c>
      <c r="E9" s="74" t="s">
        <v>28</v>
      </c>
      <c r="F9" s="75" t="s">
        <v>29</v>
      </c>
      <c r="H9" s="98"/>
      <c r="I9" s="98"/>
      <c r="J9" s="98"/>
    </row>
    <row r="10" spans="1:10">
      <c r="A10" s="155"/>
      <c r="E10" s="74" t="s">
        <v>30</v>
      </c>
      <c r="F10" s="74" t="str">
        <f>IF(I6="","",I6)</f>
        <v/>
      </c>
      <c r="H10" s="98"/>
      <c r="I10" s="98"/>
      <c r="J10" s="98"/>
    </row>
    <row r="11" spans="1:10">
      <c r="E11" s="74" t="s">
        <v>31</v>
      </c>
      <c r="F11" s="103">
        <f>IF(I7="","",I7)</f>
        <v>43518</v>
      </c>
      <c r="H11" s="98"/>
      <c r="I11" s="98"/>
      <c r="J11" s="98"/>
    </row>
    <row r="12" spans="1:10">
      <c r="C12" s="73"/>
      <c r="E12" s="75" t="s">
        <v>32</v>
      </c>
      <c r="F12" s="75" t="str">
        <f>Grunddaten!$B$3&amp;$I$4&amp;" / "&amp;Grunddaten!$B$4&amp;" / "&amp;$I$5</f>
        <v>9890.910 / FCh / WN</v>
      </c>
      <c r="G12" s="85"/>
      <c r="H12" s="98"/>
      <c r="I12" s="98"/>
      <c r="J12" s="98"/>
    </row>
    <row r="13" spans="1:10" s="85" customFormat="1">
      <c r="C13" s="104"/>
      <c r="D13" s="104"/>
      <c r="E13" s="75" t="s">
        <v>33</v>
      </c>
      <c r="F13" s="105" t="str">
        <f>Grunddaten!B6&amp;" Tage netto"</f>
        <v>45 Tage netto</v>
      </c>
      <c r="G13" s="81"/>
      <c r="H13" s="106"/>
      <c r="I13" s="106"/>
      <c r="J13" s="106"/>
    </row>
    <row r="14" spans="1:10" ht="9.9499999999999993" customHeight="1">
      <c r="A14" s="71"/>
      <c r="B14" s="71"/>
      <c r="C14" s="73"/>
      <c r="E14" s="85"/>
      <c r="F14" s="85"/>
      <c r="G14" s="85"/>
      <c r="H14" s="88"/>
      <c r="I14" s="88"/>
      <c r="J14" s="88"/>
    </row>
    <row r="15" spans="1:10" s="109" customFormat="1" ht="15">
      <c r="A15" s="107" t="s">
        <v>9</v>
      </c>
      <c r="B15" s="107"/>
      <c r="C15" s="107"/>
      <c r="D15" s="107"/>
      <c r="E15" s="107"/>
      <c r="F15" s="107"/>
      <c r="G15" s="107"/>
      <c r="H15" s="108"/>
      <c r="I15" s="106"/>
      <c r="J15" s="98"/>
    </row>
    <row r="16" spans="1:10">
      <c r="A16" s="110" t="s">
        <v>42</v>
      </c>
      <c r="B16" s="110"/>
      <c r="C16" s="110"/>
      <c r="D16" s="110"/>
      <c r="E16" s="110"/>
      <c r="F16" s="110"/>
      <c r="G16" s="110"/>
      <c r="H16" s="106"/>
      <c r="I16" s="98"/>
      <c r="J16" s="98"/>
    </row>
    <row r="17" spans="1:10">
      <c r="A17" s="110" t="s">
        <v>41</v>
      </c>
      <c r="B17" s="111"/>
      <c r="C17" s="111"/>
      <c r="D17" s="111"/>
      <c r="E17" s="111"/>
      <c r="F17" s="111"/>
      <c r="G17" s="111"/>
      <c r="H17" s="106"/>
      <c r="I17" s="98"/>
      <c r="J17" s="98"/>
    </row>
    <row r="18" spans="1:10">
      <c r="A18" s="110" t="s">
        <v>40</v>
      </c>
      <c r="B18" s="111"/>
      <c r="C18" s="111"/>
      <c r="D18" s="111"/>
      <c r="E18" s="111"/>
      <c r="F18" s="111"/>
      <c r="G18" s="111"/>
      <c r="H18" s="106"/>
      <c r="I18" s="106"/>
      <c r="J18" s="98"/>
    </row>
    <row r="19" spans="1:10" ht="14.25" customHeight="1">
      <c r="A19" s="110"/>
      <c r="B19" s="111"/>
      <c r="C19" s="111"/>
      <c r="D19" s="111"/>
      <c r="E19" s="111"/>
      <c r="F19" s="111"/>
      <c r="G19" s="111"/>
      <c r="H19" s="106"/>
      <c r="I19" s="106"/>
      <c r="J19" s="98"/>
    </row>
    <row r="20" spans="1:10">
      <c r="A20" s="73" t="s">
        <v>26</v>
      </c>
      <c r="B20" s="73" t="str">
        <f>IF($I$8="","",$I$8)</f>
        <v>01.11.2018 - 31.12.2018</v>
      </c>
      <c r="D20" s="79"/>
      <c r="E20" s="85"/>
      <c r="F20" s="81"/>
      <c r="G20" s="112"/>
      <c r="H20" s="106"/>
      <c r="I20" s="106"/>
      <c r="J20" s="98"/>
    </row>
    <row r="21" spans="1:10" ht="9.9499999999999993" customHeight="1">
      <c r="B21" s="73"/>
      <c r="D21" s="79"/>
      <c r="E21" s="85"/>
      <c r="F21" s="81"/>
      <c r="G21" s="112"/>
      <c r="H21" s="106"/>
      <c r="I21" s="98"/>
      <c r="J21" s="98"/>
    </row>
    <row r="22" spans="1:10" ht="28.5" customHeight="1">
      <c r="A22" s="156" t="s">
        <v>34</v>
      </c>
      <c r="B22" s="156"/>
      <c r="C22" s="156"/>
      <c r="D22" s="156"/>
      <c r="E22" s="156"/>
      <c r="F22" s="156"/>
      <c r="G22" s="156"/>
      <c r="H22" s="106"/>
      <c r="I22" s="106"/>
      <c r="J22" s="98"/>
    </row>
    <row r="23" spans="1:10" ht="9.9499999999999993" customHeight="1">
      <c r="A23" s="113"/>
      <c r="B23" s="113"/>
      <c r="C23" s="113"/>
      <c r="D23" s="114"/>
      <c r="E23" s="115"/>
      <c r="F23" s="114"/>
      <c r="G23" s="114"/>
      <c r="H23" s="106"/>
      <c r="I23" s="106"/>
      <c r="J23" s="98"/>
    </row>
    <row r="24" spans="1:10" s="75" customFormat="1" ht="12.75">
      <c r="A24" s="76"/>
      <c r="B24" s="76"/>
      <c r="C24" s="77"/>
      <c r="D24" s="78"/>
      <c r="E24" s="77"/>
      <c r="F24" s="116" t="s">
        <v>1</v>
      </c>
      <c r="G24" s="117" t="s">
        <v>1</v>
      </c>
      <c r="H24" s="118"/>
      <c r="I24" s="118"/>
      <c r="J24" s="89"/>
    </row>
    <row r="25" spans="1:10" ht="14.25" customHeight="1">
      <c r="A25" s="73"/>
      <c r="B25" s="73"/>
      <c r="D25" s="119"/>
      <c r="E25" s="85"/>
      <c r="F25" s="120"/>
      <c r="G25" s="121"/>
      <c r="H25" s="106"/>
      <c r="I25" s="106"/>
      <c r="J25" s="98"/>
    </row>
    <row r="26" spans="1:10" ht="14.25" customHeight="1">
      <c r="A26" s="70" t="s">
        <v>46</v>
      </c>
      <c r="B26" s="73"/>
      <c r="E26" s="80"/>
      <c r="F26" s="122">
        <v>1500</v>
      </c>
      <c r="G26" s="81"/>
      <c r="H26" s="106"/>
      <c r="I26" s="98"/>
      <c r="J26" s="98"/>
    </row>
    <row r="27" spans="1:10" ht="14.25" customHeight="1">
      <c r="B27" s="73"/>
      <c r="E27" s="123"/>
      <c r="F27" s="124"/>
      <c r="G27" s="81"/>
      <c r="H27" s="106"/>
      <c r="I27" s="98"/>
      <c r="J27" s="98"/>
    </row>
    <row r="28" spans="1:10" ht="14.25" customHeight="1">
      <c r="A28" s="128"/>
      <c r="B28" s="73"/>
      <c r="C28" s="125"/>
      <c r="D28" s="126"/>
      <c r="E28" s="82"/>
      <c r="F28" s="122">
        <f>SUM(F26:F27)</f>
        <v>1500</v>
      </c>
      <c r="G28" s="127">
        <f>F28</f>
        <v>1500</v>
      </c>
      <c r="H28" s="106"/>
      <c r="I28" s="106"/>
      <c r="J28" s="98"/>
    </row>
    <row r="29" spans="1:10" ht="14.25" customHeight="1">
      <c r="A29" s="71" t="s">
        <v>35</v>
      </c>
      <c r="B29" s="73"/>
      <c r="C29" s="129"/>
      <c r="D29" s="119"/>
      <c r="E29" s="123">
        <v>7.6999999999999999E-2</v>
      </c>
      <c r="F29" s="122"/>
      <c r="G29" s="130">
        <f>ROUND(G28*E29*20,0)/20</f>
        <v>115.5</v>
      </c>
      <c r="H29" s="106"/>
      <c r="I29" s="106"/>
      <c r="J29" s="98"/>
    </row>
    <row r="30" spans="1:10" ht="18" customHeight="1">
      <c r="A30" s="131" t="s">
        <v>2</v>
      </c>
      <c r="B30" s="132"/>
      <c r="C30" s="133"/>
      <c r="D30" s="134"/>
      <c r="E30" s="135"/>
      <c r="F30" s="136"/>
      <c r="G30" s="137">
        <f>SUM(G28:G29)</f>
        <v>1615.5</v>
      </c>
      <c r="H30" s="106"/>
      <c r="I30" s="106"/>
      <c r="J30" s="98"/>
    </row>
    <row r="31" spans="1:10" ht="14.25" customHeight="1">
      <c r="B31" s="73"/>
      <c r="E31" s="85"/>
      <c r="F31" s="122"/>
      <c r="G31" s="81"/>
      <c r="H31" s="106"/>
      <c r="I31" s="106"/>
      <c r="J31" s="98"/>
    </row>
    <row r="32" spans="1:10" ht="14.25" customHeight="1">
      <c r="B32" s="73"/>
      <c r="E32" s="85"/>
      <c r="F32" s="122"/>
      <c r="G32" s="81"/>
      <c r="H32" s="106"/>
      <c r="I32" s="106"/>
      <c r="J32" s="98"/>
    </row>
    <row r="33" spans="1:10" ht="14.25" customHeight="1">
      <c r="B33" s="73"/>
      <c r="E33" s="85"/>
      <c r="F33" s="122"/>
      <c r="G33" s="81"/>
      <c r="H33" s="106"/>
      <c r="I33" s="106"/>
      <c r="J33" s="98"/>
    </row>
    <row r="34" spans="1:10" ht="14.25" customHeight="1">
      <c r="B34" s="73"/>
      <c r="E34" s="85"/>
      <c r="F34" s="122"/>
      <c r="G34" s="81"/>
      <c r="H34" s="106"/>
      <c r="I34" s="106"/>
      <c r="J34" s="98"/>
    </row>
    <row r="35" spans="1:10" ht="14.25" customHeight="1">
      <c r="B35" s="73"/>
      <c r="E35" s="85"/>
      <c r="F35" s="122"/>
      <c r="G35" s="81"/>
      <c r="H35" s="106"/>
      <c r="I35" s="106"/>
      <c r="J35" s="98"/>
    </row>
    <row r="36" spans="1:10" ht="14.25" customHeight="1">
      <c r="B36" s="73"/>
      <c r="E36" s="85"/>
      <c r="F36" s="122"/>
      <c r="G36" s="81"/>
      <c r="H36" s="106"/>
      <c r="I36" s="106"/>
      <c r="J36" s="98"/>
    </row>
    <row r="37" spans="1:10" ht="14.25" customHeight="1">
      <c r="B37" s="73"/>
      <c r="E37" s="85"/>
      <c r="F37" s="122"/>
      <c r="G37" s="81"/>
      <c r="H37" s="106"/>
      <c r="I37" s="106"/>
      <c r="J37" s="98"/>
    </row>
    <row r="38" spans="1:10" ht="14.25" customHeight="1">
      <c r="B38" s="73"/>
      <c r="E38" s="85"/>
      <c r="F38" s="122"/>
      <c r="G38" s="81"/>
      <c r="H38" s="106"/>
      <c r="I38" s="106"/>
      <c r="J38" s="98"/>
    </row>
    <row r="39" spans="1:10" ht="14.25" customHeight="1">
      <c r="B39" s="73"/>
      <c r="E39" s="85"/>
      <c r="F39" s="122"/>
      <c r="G39" s="81"/>
      <c r="H39" s="106"/>
      <c r="I39" s="106"/>
      <c r="J39" s="98"/>
    </row>
    <row r="40" spans="1:10" ht="14.25" customHeight="1">
      <c r="B40" s="73"/>
      <c r="E40" s="85"/>
      <c r="F40" s="122"/>
      <c r="G40" s="81"/>
      <c r="H40" s="106"/>
      <c r="I40" s="106"/>
      <c r="J40" s="98"/>
    </row>
    <row r="41" spans="1:10" ht="14.25" customHeight="1">
      <c r="B41" s="73"/>
      <c r="E41" s="85"/>
      <c r="F41" s="122"/>
      <c r="G41" s="81"/>
      <c r="H41" s="106"/>
      <c r="I41" s="106"/>
      <c r="J41" s="98"/>
    </row>
    <row r="42" spans="1:10" ht="14.25" customHeight="1">
      <c r="B42" s="73"/>
      <c r="E42" s="85"/>
      <c r="F42" s="122"/>
      <c r="G42" s="81"/>
      <c r="H42" s="106"/>
      <c r="I42" s="106"/>
      <c r="J42" s="98"/>
    </row>
    <row r="43" spans="1:10" ht="54" customHeight="1">
      <c r="A43" s="98"/>
      <c r="B43" s="98"/>
      <c r="C43" s="98"/>
      <c r="D43" s="98"/>
      <c r="E43" s="98"/>
      <c r="F43" s="98"/>
      <c r="G43" s="98"/>
      <c r="H43" s="98"/>
      <c r="I43" s="98"/>
      <c r="J43" s="98"/>
    </row>
  </sheetData>
  <mergeCells count="2">
    <mergeCell ref="A9:A10"/>
    <mergeCell ref="A22:G22"/>
  </mergeCells>
  <conditionalFormatting sqref="I5:I8">
    <cfRule type="expression" dxfId="3" priority="2">
      <formula>I5=""</formula>
    </cfRule>
  </conditionalFormatting>
  <conditionalFormatting sqref="I4">
    <cfRule type="expression" dxfId="2" priority="1">
      <formula>I4=""</formula>
    </cfRule>
  </conditionalFormatting>
  <pageMargins left="0.94488188976377963" right="0.70866141732283472" top="0.43307086614173229" bottom="0.19685039370078741" header="1.1417322834645669" footer="0.31496062992125984"/>
  <pageSetup paperSize="9" orientation="portrait" r:id="rId1"/>
  <headerFooter differentFirst="1" scaleWithDoc="0">
    <oddHeader>&amp;R&amp;G</oddHeader>
    <oddFooter xml:space="preserve">&amp;L&amp;8&amp;G
&amp;9&amp;F
&amp;R&amp;8
&amp;9Seite &amp;P
</oddFooter>
    <firstHeader>&amp;R&amp;G</firstHeader>
    <firstFooter>&amp;L&amp;G&amp;R&amp;7
Seite &amp;P / &amp;N</firstFooter>
  </headerFooter>
  <drawing r:id="rId2"/>
  <legacyDrawing r:id="rId3"/>
  <legacyDrawingHF r:id="rId4"/>
  <oleObjects>
    <mc:AlternateContent xmlns:mc="http://schemas.openxmlformats.org/markup-compatibility/2006">
      <mc:Choice Requires="x14">
        <oleObject progId="Word.Document.6" shapeId="49153" r:id="rId5">
          <objectPr defaultSize="0" autoLine="0" autoPict="0" r:id="rId6">
            <anchor>
              <from>
                <xdr:col>0</xdr:col>
                <xdr:colOff>0</xdr:colOff>
                <xdr:row>97</xdr:row>
                <xdr:rowOff>28575</xdr:rowOff>
              </from>
              <to>
                <xdr:col>6</xdr:col>
                <xdr:colOff>790575</xdr:colOff>
                <xdr:row>98</xdr:row>
                <xdr:rowOff>152400</xdr:rowOff>
              </to>
            </anchor>
          </objectPr>
        </oleObject>
      </mc:Choice>
      <mc:Fallback>
        <oleObject progId="Word.Document.6" shapeId="49153" r:id="rId5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4" r:id="rId7" name="Button 2">
              <controlPr defaultSize="0" print="0" autoFill="0" autoPict="0" macro="[2]!Stempel_Size">
                <anchor moveWithCells="1" sizeWithCells="1">
                  <from>
                    <xdr:col>0</xdr:col>
                    <xdr:colOff>38100</xdr:colOff>
                    <xdr:row>0</xdr:row>
                    <xdr:rowOff>85725</xdr:rowOff>
                  </from>
                  <to>
                    <xdr:col>0</xdr:col>
                    <xdr:colOff>1085850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8" name="Button 3">
              <controlPr defaultSize="0" print="0" autoFill="0" autoPict="0" macro="[3]!Stempel_Size">
                <anchor moveWithCells="1" sizeWithCells="1">
                  <from>
                    <xdr:col>0</xdr:col>
                    <xdr:colOff>38100</xdr:colOff>
                    <xdr:row>0</xdr:row>
                    <xdr:rowOff>85725</xdr:rowOff>
                  </from>
                  <to>
                    <xdr:col>0</xdr:col>
                    <xdr:colOff>1085850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7"/>
  <dimension ref="A1:Q44"/>
  <sheetViews>
    <sheetView showGridLines="0" zoomScaleNormal="100" workbookViewId="0"/>
  </sheetViews>
  <sheetFormatPr baseColWidth="10" defaultRowHeight="14.25"/>
  <cols>
    <col min="1" max="1" width="18.7109375" style="70" customWidth="1"/>
    <col min="2" max="2" width="12.85546875" style="70" customWidth="1"/>
    <col min="3" max="3" width="6.140625" style="70" customWidth="1"/>
    <col min="4" max="4" width="9.7109375" style="70" customWidth="1"/>
    <col min="5" max="5" width="12.7109375" style="70" customWidth="1"/>
    <col min="6" max="7" width="12.85546875" style="70" customWidth="1"/>
    <col min="8" max="8" width="21.85546875" style="70" customWidth="1"/>
    <col min="9" max="9" width="30.7109375" style="70" customWidth="1"/>
    <col min="10" max="16384" width="11.42578125" style="70"/>
  </cols>
  <sheetData>
    <row r="1" spans="1:15" ht="129.94999999999999" customHeight="1">
      <c r="H1" s="96" t="s">
        <v>21</v>
      </c>
      <c r="I1" s="97"/>
      <c r="J1" s="98"/>
      <c r="K1" s="149"/>
    </row>
    <row r="2" spans="1:15">
      <c r="A2" s="71" t="str">
        <f>IF(Grunddaten!B8="","",Grunddaten!B8)</f>
        <v>INGE EP RF-BB</v>
      </c>
      <c r="E2" s="70" t="str">
        <f>IF(Grunddaten!B17="","","Versand an:")</f>
        <v/>
      </c>
      <c r="H2" s="98"/>
      <c r="I2" s="98"/>
      <c r="J2" s="98"/>
    </row>
    <row r="3" spans="1:15">
      <c r="A3" s="71" t="str">
        <f>IF(Grunddaten!B9="","",Grunddaten!B9)</f>
        <v>c/o Aegerter &amp; Bosshardt AG</v>
      </c>
      <c r="E3" s="70" t="str">
        <f>IF(Grunddaten!B17="","",Grunddaten!B17)</f>
        <v/>
      </c>
      <c r="H3" s="98"/>
      <c r="I3" s="98"/>
      <c r="J3" s="98"/>
    </row>
    <row r="4" spans="1:15">
      <c r="A4" s="71" t="str">
        <f>IF(Grunddaten!B10="","",Grunddaten!B10)</f>
        <v>Hochstrasse 48</v>
      </c>
      <c r="E4" s="70" t="str">
        <f>IF(Grunddaten!B18="","",Grunddaten!B18)</f>
        <v/>
      </c>
      <c r="H4" s="98" t="s">
        <v>22</v>
      </c>
      <c r="I4" s="99" t="s">
        <v>58</v>
      </c>
      <c r="J4" s="98"/>
      <c r="K4" s="150"/>
      <c r="L4" s="150"/>
      <c r="M4" s="150"/>
      <c r="N4" s="150"/>
      <c r="O4" s="150"/>
    </row>
    <row r="5" spans="1:15">
      <c r="A5" s="71" t="str">
        <f>IF(Grunddaten!B11="","",Grunddaten!B11)</f>
        <v>4002 Basel</v>
      </c>
      <c r="E5" s="70" t="str">
        <f>IF(Grunddaten!B19="","",Grunddaten!B19)</f>
        <v/>
      </c>
      <c r="H5" s="98" t="s">
        <v>23</v>
      </c>
      <c r="I5" s="100" t="s">
        <v>59</v>
      </c>
      <c r="J5" s="98"/>
      <c r="K5" s="151"/>
      <c r="L5" s="151"/>
      <c r="M5" s="151"/>
      <c r="N5" s="151"/>
      <c r="O5" s="151"/>
    </row>
    <row r="6" spans="1:15">
      <c r="A6" s="71" t="str">
        <f>IF(Grunddaten!B12="","",Grunddaten!B12)</f>
        <v/>
      </c>
      <c r="E6" s="70" t="str">
        <f>IF(Grunddaten!B20="","",Grunddaten!B20)</f>
        <v/>
      </c>
      <c r="H6" s="98" t="s">
        <v>24</v>
      </c>
      <c r="I6" s="101"/>
      <c r="J6" s="98"/>
      <c r="K6" s="151"/>
      <c r="L6" s="151"/>
      <c r="M6" s="151"/>
      <c r="N6" s="151"/>
      <c r="O6" s="151"/>
    </row>
    <row r="7" spans="1:15">
      <c r="A7" s="71"/>
      <c r="E7" s="70" t="str">
        <f>IF(Grunddaten!B21="","",Grunddaten!B21)</f>
        <v/>
      </c>
      <c r="H7" s="98" t="s">
        <v>25</v>
      </c>
      <c r="I7" s="102">
        <v>45229</v>
      </c>
      <c r="J7" s="98"/>
    </row>
    <row r="8" spans="1:15" ht="15">
      <c r="A8" s="71"/>
      <c r="H8" s="98" t="s">
        <v>26</v>
      </c>
      <c r="I8" s="100" t="s">
        <v>76</v>
      </c>
      <c r="J8" s="88"/>
    </row>
    <row r="9" spans="1:15" ht="14.25" customHeight="1">
      <c r="A9" s="155" t="s">
        <v>27</v>
      </c>
      <c r="E9" s="74" t="s">
        <v>28</v>
      </c>
      <c r="F9" s="75" t="s">
        <v>29</v>
      </c>
      <c r="H9" s="98"/>
      <c r="I9" s="98"/>
      <c r="J9" s="98"/>
    </row>
    <row r="10" spans="1:15" ht="14.25" customHeight="1">
      <c r="A10" s="155"/>
      <c r="E10" s="74" t="s">
        <v>30</v>
      </c>
      <c r="F10" s="74" t="str">
        <f>IF(I6="","",I6)</f>
        <v/>
      </c>
      <c r="H10" s="98"/>
      <c r="I10" s="98"/>
      <c r="J10" s="98"/>
    </row>
    <row r="11" spans="1:15">
      <c r="E11" s="74" t="s">
        <v>31</v>
      </c>
      <c r="F11" s="103">
        <f>IF(I7="","",I7)</f>
        <v>45229</v>
      </c>
      <c r="H11" s="98"/>
      <c r="I11" s="98"/>
      <c r="J11" s="98"/>
    </row>
    <row r="12" spans="1:15">
      <c r="C12" s="73"/>
      <c r="E12" s="75" t="s">
        <v>32</v>
      </c>
      <c r="F12" s="75" t="str">
        <f>Grunddaten!$B$3&amp;$I$4&amp;"/"&amp;Grunddaten!$B$4&amp;"/"&amp;$I$5</f>
        <v>9890.310.320.420.100/FCh/MNo</v>
      </c>
      <c r="G12" s="85"/>
      <c r="H12" s="98"/>
      <c r="I12" s="98"/>
      <c r="J12" s="98"/>
    </row>
    <row r="13" spans="1:15" s="85" customFormat="1">
      <c r="C13" s="104"/>
      <c r="D13" s="104"/>
      <c r="E13" s="75" t="s">
        <v>33</v>
      </c>
      <c r="F13" s="105" t="str">
        <f>Grunddaten!B6&amp;" Tage netto"</f>
        <v>45 Tage netto</v>
      </c>
      <c r="G13" s="81"/>
      <c r="H13" s="106"/>
      <c r="I13" s="106"/>
      <c r="J13" s="106"/>
    </row>
    <row r="14" spans="1:15" ht="9.9499999999999993" customHeight="1">
      <c r="A14" s="71"/>
      <c r="B14" s="71"/>
      <c r="C14" s="73"/>
      <c r="E14" s="85"/>
      <c r="F14" s="85"/>
      <c r="G14" s="85"/>
      <c r="H14" s="88"/>
      <c r="I14" s="88"/>
      <c r="J14" s="88"/>
    </row>
    <row r="15" spans="1:15" s="109" customFormat="1" ht="15">
      <c r="A15" s="107" t="s">
        <v>9</v>
      </c>
      <c r="B15" s="107"/>
      <c r="C15" s="107"/>
      <c r="D15" s="107"/>
      <c r="E15" s="107"/>
      <c r="F15" s="107"/>
      <c r="G15" s="107"/>
      <c r="H15" s="108"/>
      <c r="I15" s="106"/>
      <c r="J15" s="98"/>
    </row>
    <row r="16" spans="1:15">
      <c r="A16" s="110" t="s">
        <v>42</v>
      </c>
      <c r="B16" s="110"/>
      <c r="C16" s="110"/>
      <c r="D16" s="110"/>
      <c r="E16" s="110"/>
      <c r="F16" s="110"/>
      <c r="G16" s="110"/>
      <c r="H16" s="106"/>
      <c r="I16" s="98"/>
      <c r="J16" s="98"/>
    </row>
    <row r="17" spans="1:17">
      <c r="A17" s="110" t="s">
        <v>41</v>
      </c>
      <c r="B17" s="111"/>
      <c r="C17" s="111"/>
      <c r="D17" s="111"/>
      <c r="E17" s="111"/>
      <c r="F17" s="111"/>
      <c r="G17" s="111"/>
      <c r="H17" s="106"/>
      <c r="I17" s="98"/>
      <c r="J17" s="98"/>
    </row>
    <row r="18" spans="1:17">
      <c r="A18" s="110"/>
      <c r="B18" s="111"/>
      <c r="C18" s="111"/>
      <c r="D18" s="111"/>
      <c r="E18" s="111"/>
      <c r="F18" s="111"/>
      <c r="G18" s="111"/>
      <c r="H18" s="106"/>
      <c r="I18" s="106"/>
      <c r="J18" s="98"/>
    </row>
    <row r="19" spans="1:17">
      <c r="A19" s="110"/>
      <c r="B19" s="111"/>
      <c r="C19" s="111"/>
      <c r="D19" s="111"/>
      <c r="E19" s="111"/>
      <c r="F19" s="111"/>
      <c r="G19" s="111"/>
      <c r="H19" s="106"/>
      <c r="I19" s="106"/>
      <c r="J19" s="98"/>
    </row>
    <row r="20" spans="1:17">
      <c r="A20" s="73" t="s">
        <v>26</v>
      </c>
      <c r="B20" s="73" t="str">
        <f>IF($I$8="","",$I$8)</f>
        <v>01.01.2022 - 31.12.2022</v>
      </c>
      <c r="D20" s="79"/>
      <c r="E20" s="85"/>
      <c r="F20" s="81"/>
      <c r="G20" s="112"/>
      <c r="H20" s="106"/>
      <c r="I20" s="106"/>
      <c r="J20" s="98"/>
    </row>
    <row r="21" spans="1:17" ht="14.25" customHeight="1">
      <c r="B21" s="73"/>
      <c r="D21" s="79"/>
      <c r="E21" s="85"/>
      <c r="F21" s="81"/>
      <c r="G21" s="112"/>
      <c r="H21" s="106"/>
      <c r="I21" s="98"/>
      <c r="J21" s="98"/>
    </row>
    <row r="22" spans="1:17" ht="14.25" customHeight="1">
      <c r="A22" s="156" t="s">
        <v>34</v>
      </c>
      <c r="B22" s="156"/>
      <c r="C22" s="156"/>
      <c r="D22" s="156"/>
      <c r="E22" s="156"/>
      <c r="F22" s="156"/>
      <c r="G22" s="156"/>
      <c r="H22" s="106"/>
      <c r="I22" s="106"/>
      <c r="J22" s="98"/>
    </row>
    <row r="23" spans="1:17" ht="9.9499999999999993" customHeight="1">
      <c r="A23" s="113"/>
      <c r="B23" s="113"/>
      <c r="C23" s="113"/>
      <c r="D23" s="114"/>
      <c r="E23" s="115"/>
      <c r="F23" s="114"/>
      <c r="G23" s="114"/>
      <c r="H23" s="106"/>
      <c r="I23" s="106"/>
      <c r="J23" s="98"/>
    </row>
    <row r="24" spans="1:17" ht="28.5" customHeight="1">
      <c r="A24" s="76"/>
      <c r="B24" s="76"/>
      <c r="C24" s="77"/>
      <c r="D24" s="78"/>
      <c r="E24" s="77"/>
      <c r="F24" s="116" t="s">
        <v>1</v>
      </c>
      <c r="G24" s="117" t="s">
        <v>1</v>
      </c>
      <c r="H24" s="118"/>
      <c r="I24" s="118"/>
      <c r="J24" s="98"/>
    </row>
    <row r="25" spans="1:17" s="75" customFormat="1">
      <c r="A25" s="145"/>
      <c r="B25" s="73"/>
      <c r="C25" s="70"/>
      <c r="D25" s="70"/>
      <c r="E25" s="80"/>
      <c r="F25" s="122"/>
      <c r="G25" s="81"/>
      <c r="H25" s="106"/>
      <c r="I25" s="98"/>
      <c r="J25" s="89"/>
    </row>
    <row r="26" spans="1:17" ht="14.25" customHeight="1">
      <c r="A26" s="145" t="s">
        <v>75</v>
      </c>
      <c r="B26" s="73"/>
      <c r="E26" s="80"/>
      <c r="F26" s="122">
        <v>363764.76</v>
      </c>
      <c r="G26" s="81"/>
      <c r="H26" s="106"/>
      <c r="I26" s="98"/>
      <c r="J26" s="98"/>
      <c r="M26" s="126"/>
      <c r="N26" s="126"/>
      <c r="O26" s="126"/>
      <c r="P26" s="126"/>
    </row>
    <row r="27" spans="1:17" ht="14.25" customHeight="1">
      <c r="A27" s="146"/>
      <c r="B27" s="73"/>
      <c r="E27" s="80"/>
      <c r="F27" s="122"/>
      <c r="G27" s="81"/>
      <c r="H27" s="106"/>
      <c r="I27" s="98"/>
      <c r="J27" s="98"/>
      <c r="M27" s="127"/>
      <c r="N27" s="81"/>
      <c r="O27" s="127"/>
      <c r="P27" s="127"/>
      <c r="Q27" s="127"/>
    </row>
    <row r="28" spans="1:17" ht="4.5" customHeight="1">
      <c r="A28" s="146"/>
      <c r="B28" s="73"/>
      <c r="E28" s="80"/>
      <c r="F28" s="124"/>
      <c r="G28" s="81"/>
      <c r="H28" s="106"/>
      <c r="I28" s="98"/>
      <c r="J28" s="98"/>
      <c r="M28" s="127"/>
      <c r="N28" s="81"/>
      <c r="O28" s="127"/>
      <c r="P28" s="127"/>
      <c r="Q28" s="127"/>
    </row>
    <row r="29" spans="1:17" ht="14.25" customHeight="1">
      <c r="B29" s="73"/>
      <c r="E29" s="80"/>
      <c r="F29" s="122">
        <f>SUM(F26:F28)</f>
        <v>363764.76</v>
      </c>
      <c r="G29" s="81"/>
      <c r="H29" s="106"/>
      <c r="I29" s="98"/>
      <c r="J29" s="98"/>
    </row>
    <row r="30" spans="1:17" ht="14.25" customHeight="1">
      <c r="B30" s="73"/>
      <c r="E30" s="80"/>
      <c r="F30" s="122"/>
      <c r="G30" s="81"/>
      <c r="H30" s="106"/>
      <c r="I30" s="98"/>
      <c r="J30" s="98"/>
    </row>
    <row r="31" spans="1:17" ht="14.25" customHeight="1">
      <c r="B31" s="73"/>
      <c r="E31" s="80"/>
      <c r="F31" s="122"/>
      <c r="G31" s="81"/>
      <c r="H31" s="106"/>
      <c r="I31" s="98"/>
      <c r="J31" s="98"/>
    </row>
    <row r="32" spans="1:17" ht="18.75" customHeight="1">
      <c r="A32" s="70" t="s">
        <v>71</v>
      </c>
      <c r="B32" s="73"/>
      <c r="E32" s="147">
        <v>2.7400000000000001E-2</v>
      </c>
      <c r="F32" s="124">
        <f>(ROUND(F29*E32*20,0)/20)</f>
        <v>9967.15</v>
      </c>
      <c r="G32" s="81"/>
      <c r="H32" s="106"/>
      <c r="I32" s="98"/>
      <c r="J32" s="98"/>
    </row>
    <row r="33" spans="1:10" ht="14.25" customHeight="1">
      <c r="B33" s="73"/>
      <c r="E33" s="80"/>
      <c r="F33" s="122"/>
      <c r="G33" s="81"/>
      <c r="H33" s="106"/>
      <c r="I33" s="98"/>
      <c r="J33" s="98"/>
    </row>
    <row r="34" spans="1:10" ht="14.25" customHeight="1">
      <c r="A34" s="72"/>
      <c r="B34" s="73"/>
      <c r="E34" s="80"/>
      <c r="F34" s="122"/>
      <c r="G34" s="81"/>
      <c r="H34" s="106"/>
      <c r="I34" s="98"/>
      <c r="J34" s="98"/>
    </row>
    <row r="35" spans="1:10" ht="14.25" customHeight="1">
      <c r="A35" s="72"/>
      <c r="B35" s="73"/>
      <c r="C35" s="125"/>
      <c r="D35" s="126"/>
      <c r="E35" s="123"/>
      <c r="F35" s="122"/>
      <c r="G35" s="127"/>
      <c r="H35" s="106"/>
      <c r="I35" s="106"/>
      <c r="J35" s="98"/>
    </row>
    <row r="36" spans="1:10" ht="14.25" customHeight="1">
      <c r="A36" s="128"/>
      <c r="B36" s="73"/>
      <c r="C36" s="125"/>
      <c r="D36" s="126"/>
      <c r="E36" s="82"/>
      <c r="F36" s="122">
        <f>SUM(F32:F35)</f>
        <v>9967.15</v>
      </c>
      <c r="G36" s="127">
        <f>F36</f>
        <v>9967.15</v>
      </c>
      <c r="H36" s="106"/>
      <c r="I36" s="106"/>
      <c r="J36" s="98"/>
    </row>
    <row r="37" spans="1:10" ht="14.25" customHeight="1">
      <c r="A37" s="71" t="s">
        <v>35</v>
      </c>
      <c r="B37" s="73"/>
      <c r="C37" s="129"/>
      <c r="D37" s="119"/>
      <c r="E37" s="123">
        <v>7.6999999999999999E-2</v>
      </c>
      <c r="F37" s="122"/>
      <c r="G37" s="130">
        <f>ROUND(G36*E37*20,0)/20</f>
        <v>767.45</v>
      </c>
      <c r="H37" s="106"/>
      <c r="I37" s="106"/>
      <c r="J37" s="98"/>
    </row>
    <row r="38" spans="1:10" ht="14.25" customHeight="1">
      <c r="A38" s="131" t="s">
        <v>2</v>
      </c>
      <c r="B38" s="132"/>
      <c r="C38" s="133"/>
      <c r="D38" s="134"/>
      <c r="E38" s="135"/>
      <c r="F38" s="136"/>
      <c r="G38" s="137">
        <f>SUM(G36:G37)</f>
        <v>10734.6</v>
      </c>
      <c r="H38" s="106"/>
      <c r="I38" s="106"/>
      <c r="J38" s="98"/>
    </row>
    <row r="39" spans="1:10" ht="14.25" customHeight="1">
      <c r="A39" s="131"/>
      <c r="B39" s="132"/>
      <c r="C39" s="133"/>
      <c r="D39" s="134"/>
      <c r="E39" s="135"/>
      <c r="F39" s="136"/>
      <c r="G39" s="137"/>
      <c r="H39" s="106"/>
      <c r="I39" s="106"/>
      <c r="J39" s="98"/>
    </row>
    <row r="40" spans="1:10" ht="14.25" customHeight="1">
      <c r="B40" s="73"/>
      <c r="E40" s="85"/>
      <c r="F40" s="81"/>
      <c r="G40" s="81"/>
      <c r="H40" s="106"/>
      <c r="I40" s="106"/>
      <c r="J40" s="98"/>
    </row>
    <row r="41" spans="1:10" ht="14.25" customHeight="1">
      <c r="A41" s="157" t="str">
        <f>CONCATENATE("Damit wir Ihre Zahlung korrekt verbuchen können, geben Sie bei Ihrer Überweisung bitte die")</f>
        <v>Damit wir Ihre Zahlung korrekt verbuchen können, geben Sie bei Ihrer Überweisung bitte die</v>
      </c>
      <c r="B41" s="157"/>
      <c r="C41" s="157"/>
      <c r="D41" s="157"/>
      <c r="E41" s="157"/>
      <c r="F41" s="157"/>
      <c r="G41" s="157"/>
      <c r="H41" s="106"/>
      <c r="I41" s="106"/>
      <c r="J41" s="98"/>
    </row>
    <row r="42" spans="1:10" ht="14.25" customHeight="1">
      <c r="A42" s="158" t="str">
        <f>CONCATENATE("Rechnungsnummer ",F10," als Verwendungszweck an.")</f>
        <v>Rechnungsnummer  als Verwendungszweck an.</v>
      </c>
      <c r="B42" s="158"/>
      <c r="C42" s="158"/>
      <c r="D42" s="158"/>
      <c r="E42" s="158"/>
      <c r="F42" s="158"/>
      <c r="G42" s="158"/>
      <c r="H42" s="106"/>
      <c r="I42" s="106"/>
      <c r="J42" s="98"/>
    </row>
    <row r="43" spans="1:10" ht="8.25" customHeight="1">
      <c r="B43" s="73"/>
      <c r="E43" s="85"/>
      <c r="F43" s="81"/>
      <c r="G43" s="81"/>
      <c r="H43" s="106"/>
      <c r="I43" s="106"/>
      <c r="J43" s="98"/>
    </row>
    <row r="44" spans="1:10" ht="54" customHeight="1">
      <c r="A44" s="98"/>
      <c r="B44" s="98"/>
      <c r="C44" s="98"/>
      <c r="D44" s="98"/>
      <c r="E44" s="98"/>
      <c r="F44" s="98"/>
      <c r="G44" s="98"/>
      <c r="H44" s="98"/>
      <c r="I44" s="98"/>
      <c r="J44" s="98"/>
    </row>
  </sheetData>
  <mergeCells count="4">
    <mergeCell ref="A9:A10"/>
    <mergeCell ref="A41:G41"/>
    <mergeCell ref="A42:G42"/>
    <mergeCell ref="A22:G22"/>
  </mergeCells>
  <conditionalFormatting sqref="I5:I8">
    <cfRule type="expression" dxfId="1" priority="2">
      <formula>I5=""</formula>
    </cfRule>
  </conditionalFormatting>
  <conditionalFormatting sqref="I4">
    <cfRule type="expression" dxfId="0" priority="1">
      <formula>I4=""</formula>
    </cfRule>
  </conditionalFormatting>
  <hyperlinks>
    <hyperlink ref="E7" r:id="rId1" display="bkm@rrag.ch"/>
  </hyperlinks>
  <pageMargins left="0.94488188976377963" right="0.70866141732283472" top="0.43307086614173229" bottom="0.19685039370078741" header="1.1417322834645669" footer="0.31496062992125984"/>
  <pageSetup paperSize="9" orientation="portrait" r:id="rId2"/>
  <headerFooter differentFirst="1" scaleWithDoc="0">
    <oddHeader>&amp;R&amp;G</oddHeader>
    <oddFooter xml:space="preserve">&amp;R&amp;8
&amp;9Seite &amp;P
</oddFooter>
    <firstHeader>&amp;R&amp;G</firstHeader>
    <firstFooter>&amp;L&amp;G&amp;R&amp;7
Seite &amp;P / &amp;N</firstFooter>
  </headerFooter>
  <drawing r:id="rId3"/>
  <legacyDrawing r:id="rId4"/>
  <legacyDrawingHF r:id="rId5"/>
  <oleObjects>
    <mc:AlternateContent xmlns:mc="http://schemas.openxmlformats.org/markup-compatibility/2006">
      <mc:Choice Requires="x14">
        <oleObject progId="Word.Document.6" shapeId="67585" r:id="rId6">
          <objectPr defaultSize="0" autoLine="0" autoPict="0" r:id="rId7">
            <anchor>
              <from>
                <xdr:col>0</xdr:col>
                <xdr:colOff>0</xdr:colOff>
                <xdr:row>98</xdr:row>
                <xdr:rowOff>0</xdr:rowOff>
              </from>
              <to>
                <xdr:col>6</xdr:col>
                <xdr:colOff>790575</xdr:colOff>
                <xdr:row>99</xdr:row>
                <xdr:rowOff>123825</xdr:rowOff>
              </to>
            </anchor>
          </objectPr>
        </oleObject>
      </mc:Choice>
      <mc:Fallback>
        <oleObject progId="Word.Document.6" shapeId="67585" r:id="rId6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6" r:id="rId8" name="Button 2">
              <controlPr defaultSize="0" print="0" autoFill="0" autoPict="0" macro="[4]!Stempel_Size">
                <anchor moveWithCells="1" sizeWithCells="1">
                  <from>
                    <xdr:col>0</xdr:col>
                    <xdr:colOff>38100</xdr:colOff>
                    <xdr:row>0</xdr:row>
                    <xdr:rowOff>85725</xdr:rowOff>
                  </from>
                  <to>
                    <xdr:col>0</xdr:col>
                    <xdr:colOff>1085850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"/>
  <sheetViews>
    <sheetView workbookViewId="0"/>
  </sheetViews>
  <sheetFormatPr baseColWidth="10" defaultRowHeight="12.75"/>
  <sheetData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"/>
  <sheetViews>
    <sheetView workbookViewId="0"/>
  </sheetViews>
  <sheetFormatPr baseColWidth="10" defaultRowHeight="12.7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10</vt:i4>
      </vt:variant>
    </vt:vector>
  </HeadingPairs>
  <TitlesOfParts>
    <vt:vector size="16" baseType="lpstr">
      <vt:lpstr>INGE</vt:lpstr>
      <vt:lpstr>Grunddaten</vt:lpstr>
      <vt:lpstr>.200</vt:lpstr>
      <vt:lpstr>.500</vt:lpstr>
      <vt:lpstr>.910</vt:lpstr>
      <vt:lpstr>Teuerung</vt:lpstr>
      <vt:lpstr>'.200'!Druckbereich</vt:lpstr>
      <vt:lpstr>'.500'!Druckbereich</vt:lpstr>
      <vt:lpstr>'.910'!Druckbereich</vt:lpstr>
      <vt:lpstr>Grunddaten!Druckbereich</vt:lpstr>
      <vt:lpstr>INGE!Druckbereich</vt:lpstr>
      <vt:lpstr>Teuerung!Druckbereich</vt:lpstr>
      <vt:lpstr>'.200'!Drucktitel</vt:lpstr>
      <vt:lpstr>'.500'!Drucktitel</vt:lpstr>
      <vt:lpstr>'.910'!Drucktitel</vt:lpstr>
      <vt:lpstr>Teuerung!Drucktitel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Zenners Guy</dc:creator>
  <cp:lastModifiedBy>Martin Noelle</cp:lastModifiedBy>
  <cp:lastPrinted>2023-10-31T11:32:51Z</cp:lastPrinted>
  <dcterms:created xsi:type="dcterms:W3CDTF">1997-04-21T09:10:20Z</dcterms:created>
  <dcterms:modified xsi:type="dcterms:W3CDTF">2023-10-31T11:33:20Z</dcterms:modified>
</cp:coreProperties>
</file>