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K:\9000\9890_Shd_EP_Rheinfelden_Frick_Kt_AG\P100_Projektschluessel\P190_weitere_Dokumente\QM\"/>
    </mc:Choice>
  </mc:AlternateContent>
  <bookViews>
    <workbookView xWindow="0" yWindow="0" windowWidth="27810" windowHeight="11280" activeTab="1"/>
  </bookViews>
  <sheets>
    <sheet name="Risikoanalyse CL" sheetId="18" r:id="rId1"/>
    <sheet name="Risikobewertung" sheetId="20" r:id="rId2"/>
  </sheets>
  <definedNames>
    <definedName name="_xlnm._FilterDatabase" localSheetId="1" hidden="1">Risikobewertung!$M$8:$M$34</definedName>
    <definedName name="_xlnm.Print_Area" localSheetId="0">'Risikoanalyse CL'!$A$1:$D$44</definedName>
    <definedName name="_xlnm.Print_Area" localSheetId="1">Risikobewertung!$A$1:$L$35</definedName>
    <definedName name="_xlnm.Print_Titles" localSheetId="0">'Risikoanalyse CL'!$3:$5</definedName>
    <definedName name="Projektname">"Textfeld 4"</definedName>
    <definedName name="R_Analyse">'Risikoanalyse CL'!$A$1:$H$44</definedName>
  </definedNames>
  <calcPr calcId="162913"/>
</workbook>
</file>

<file path=xl/calcChain.xml><?xml version="1.0" encoding="utf-8"?>
<calcChain xmlns="http://schemas.openxmlformats.org/spreadsheetml/2006/main">
  <c r="M9" i="20" l="1"/>
  <c r="M34" i="20"/>
  <c r="M33" i="20"/>
  <c r="M32" i="20"/>
  <c r="M31" i="20"/>
  <c r="M30" i="20"/>
  <c r="M29" i="20"/>
  <c r="M28" i="20"/>
  <c r="M27" i="20"/>
  <c r="M26" i="20"/>
  <c r="M25" i="20"/>
  <c r="M24" i="20"/>
  <c r="M23" i="20"/>
  <c r="M22" i="20"/>
  <c r="M21" i="20"/>
  <c r="M20" i="20"/>
  <c r="M19" i="20"/>
  <c r="M18" i="20"/>
  <c r="M17" i="20"/>
  <c r="M16" i="20"/>
  <c r="M15" i="20"/>
  <c r="M14" i="20"/>
  <c r="M13" i="20"/>
  <c r="M12" i="20"/>
  <c r="M11" i="20"/>
  <c r="M10"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E43" i="18" l="1"/>
  <c r="E42" i="18"/>
  <c r="E38" i="18"/>
  <c r="E37" i="18"/>
  <c r="E36" i="18"/>
  <c r="E32" i="18"/>
  <c r="E31" i="18"/>
  <c r="E30" i="18"/>
  <c r="E29" i="18"/>
  <c r="E28" i="18"/>
  <c r="E27" i="18"/>
  <c r="E23" i="18"/>
  <c r="E19" i="18"/>
  <c r="E18" i="18"/>
  <c r="E17" i="18"/>
  <c r="E13" i="18"/>
  <c r="E12" i="18"/>
  <c r="E11" i="18"/>
  <c r="E10" i="18"/>
  <c r="E9" i="18"/>
  <c r="F44" i="18" l="1"/>
  <c r="F39" i="18"/>
  <c r="F33" i="18"/>
  <c r="F24" i="18"/>
  <c r="F20" i="18"/>
  <c r="F14" i="18"/>
  <c r="J9" i="20" l="1"/>
  <c r="B28" i="20" l="1"/>
  <c r="C28" i="20"/>
  <c r="K28" i="20"/>
  <c r="B20" i="20"/>
  <c r="C20" i="20"/>
  <c r="K20" i="20"/>
  <c r="B16" i="20"/>
  <c r="C16" i="20"/>
  <c r="K16" i="20"/>
  <c r="B9" i="20"/>
  <c r="C9" i="20"/>
  <c r="B27" i="20"/>
  <c r="C27" i="20"/>
  <c r="K27" i="20"/>
  <c r="C19" i="20"/>
  <c r="K19" i="20"/>
  <c r="B19" i="20"/>
  <c r="C15" i="20"/>
  <c r="B15" i="20"/>
  <c r="K15" i="20"/>
  <c r="B34" i="20"/>
  <c r="C34" i="20"/>
  <c r="K34" i="20"/>
  <c r="C25" i="20"/>
  <c r="B25" i="20"/>
  <c r="K25" i="20"/>
  <c r="B24" i="20"/>
  <c r="C24" i="20"/>
  <c r="K24" i="20"/>
  <c r="B12" i="20"/>
  <c r="C12" i="20"/>
  <c r="K12" i="20"/>
  <c r="C23" i="20"/>
  <c r="B23" i="20"/>
  <c r="K23" i="20"/>
  <c r="B11" i="20"/>
  <c r="K11" i="20"/>
  <c r="C11" i="20"/>
  <c r="B26" i="20"/>
  <c r="K26" i="20"/>
  <c r="C26" i="20"/>
  <c r="B14" i="20"/>
  <c r="C14" i="20"/>
  <c r="K14" i="20"/>
  <c r="B32" i="20"/>
  <c r="C32" i="20"/>
  <c r="K32" i="20"/>
  <c r="B30" i="20"/>
  <c r="C30" i="20"/>
  <c r="K30" i="20"/>
  <c r="B22" i="20"/>
  <c r="C22" i="20"/>
  <c r="K22" i="20"/>
  <c r="B18" i="20"/>
  <c r="C18" i="20"/>
  <c r="K18" i="20"/>
  <c r="B10" i="20"/>
  <c r="C10" i="20"/>
  <c r="K10" i="20"/>
  <c r="B33" i="20"/>
  <c r="C33" i="20"/>
  <c r="K33" i="20"/>
  <c r="B13" i="20"/>
  <c r="C13" i="20"/>
  <c r="K13" i="20"/>
  <c r="C31" i="20"/>
  <c r="B31" i="20"/>
  <c r="K31" i="20"/>
  <c r="K29" i="20"/>
  <c r="B29" i="20"/>
  <c r="C29" i="20"/>
  <c r="B21" i="20"/>
  <c r="K21" i="20"/>
  <c r="C21" i="20"/>
  <c r="B17" i="20"/>
  <c r="C17" i="20"/>
  <c r="K17" i="20"/>
  <c r="K9" i="20"/>
  <c r="O31" i="20"/>
  <c r="O23" i="20"/>
  <c r="O11" i="20"/>
  <c r="O30" i="20"/>
  <c r="O22" i="20"/>
  <c r="O18" i="20"/>
  <c r="O10" i="20"/>
  <c r="O28" i="20"/>
  <c r="O20" i="20"/>
  <c r="O34" i="20"/>
  <c r="O26" i="20"/>
  <c r="O14" i="20"/>
  <c r="O21" i="20"/>
  <c r="O27" i="20"/>
  <c r="O33" i="20"/>
  <c r="O25" i="20"/>
  <c r="O13" i="20"/>
  <c r="O29" i="20"/>
  <c r="O17" i="20"/>
  <c r="O16" i="20"/>
  <c r="O9" i="20"/>
  <c r="O19" i="20"/>
  <c r="O15" i="20"/>
  <c r="O32" i="20"/>
  <c r="O24" i="20"/>
  <c r="O12" i="20"/>
  <c r="N10" i="20"/>
  <c r="N16" i="20"/>
  <c r="N17" i="20"/>
  <c r="N20" i="20"/>
  <c r="N21" i="20"/>
  <c r="N27" i="20"/>
  <c r="N25" i="20" l="1"/>
  <c r="N33" i="20"/>
  <c r="N18" i="20"/>
  <c r="N12" i="20"/>
  <c r="N30" i="20"/>
  <c r="N29" i="20"/>
  <c r="N28" i="20"/>
  <c r="N14" i="20"/>
  <c r="N32" i="20"/>
  <c r="N11" i="20"/>
  <c r="N9" i="20"/>
  <c r="N15" i="20"/>
  <c r="N23" i="20"/>
  <c r="N22" i="20"/>
  <c r="N13" i="20"/>
  <c r="N24" i="20"/>
  <c r="N34" i="20"/>
  <c r="N31" i="20"/>
  <c r="N26" i="20"/>
  <c r="N19" i="20"/>
  <c r="A9" i="20" l="1"/>
  <c r="A10" i="20" s="1"/>
  <c r="A11" i="20" s="1"/>
  <c r="A12" i="20" s="1"/>
  <c r="A13" i="20" l="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C45" i="18" l="1"/>
</calcChain>
</file>

<file path=xl/sharedStrings.xml><?xml version="1.0" encoding="utf-8"?>
<sst xmlns="http://schemas.openxmlformats.org/spreadsheetml/2006/main" count="153" uniqueCount="111">
  <si>
    <t>Relevanz</t>
  </si>
  <si>
    <t>2. Finanzielle Risiken</t>
  </si>
  <si>
    <t>3. Rechtliche Aspekte</t>
  </si>
  <si>
    <t>4. Auftragsumfeld / Grundlagen</t>
  </si>
  <si>
    <t>5. Termine</t>
  </si>
  <si>
    <t>6. Technische Risiken</t>
  </si>
  <si>
    <t>Ist mit Mehraufwand zu rechnen?</t>
  </si>
  <si>
    <t>Gibt es spezielle Risiken im Vertrag?</t>
  </si>
  <si>
    <t>Sind die Termine speziell gedrängt?</t>
  </si>
  <si>
    <t>Risikoanalyse - Checkliste</t>
  </si>
  <si>
    <t>Vergütung pauschal / global: Ist eine Überschreitung des Budgets möglich?</t>
  </si>
  <si>
    <t>Ist mit Projektverzögerungen/-unterbrüchen zu rechnen?</t>
  </si>
  <si>
    <t>1. Auftragsorganisation/-ablauf</t>
  </si>
  <si>
    <t>Beschreibung und Konsequenzen</t>
  </si>
  <si>
    <t>Risiko</t>
  </si>
  <si>
    <t>Lfd. Nr.</t>
  </si>
  <si>
    <t>x</t>
  </si>
  <si>
    <t>Risikobewertung</t>
  </si>
  <si>
    <t>Eintrittswahr-scheinlichkeit</t>
  </si>
  <si>
    <t>hoch</t>
  </si>
  <si>
    <t>mittel</t>
  </si>
  <si>
    <t>gering</t>
  </si>
  <si>
    <t>Konsequen-zen</t>
  </si>
  <si>
    <t>massgebend</t>
  </si>
  <si>
    <t>spürbar</t>
  </si>
  <si>
    <t>vernachlässigbar</t>
  </si>
  <si>
    <t>Risikostufe</t>
  </si>
  <si>
    <t>Es besteht die Gefahr, dass wir die Termine nicht einhalten können.</t>
  </si>
  <si>
    <t>Mangelnde Kenntnisse über die Qualitätsanforderungen können zu Unsicherheiten bei der Projektierung und der Überwachung der Ausführung führen.</t>
  </si>
  <si>
    <t>Ohne Genehmigung der Phasenergebnisse besteht die Gefahr, dass man sich bei Projektänderungen nicht auf die Grundlagen der Vorphase berufen kann.</t>
  </si>
  <si>
    <t>Projektunterbrüche können zu Auslastungsproblemen führen.</t>
  </si>
  <si>
    <t>Zu spät erkannter Mehraufwand ist nur schwierig beim Auftraggeber einzufordern.</t>
  </si>
  <si>
    <t>Die ungenügende Überwachung des internen Aufwandes kann zu Kostenüberschreitungen führen, die vom Auftraggeber nicht gedeckt sind.</t>
  </si>
  <si>
    <t>Eine ungenügende Gliederung der Teilaufgaben kann es schwierig machen, den Gesamtüberblick beim internen Aufwand zu wahren.</t>
  </si>
  <si>
    <t>Anzahl relevante Faktoren</t>
  </si>
  <si>
    <t>Beschrieb der Konsequenzen</t>
  </si>
  <si>
    <t>Standardmassnahmen</t>
  </si>
  <si>
    <t>Ungedeckter Mehraufwand im Planerteam
Terminverzug mit Folgekosten
Nachträgliche unliebsame Diskussion in der Partnerschaft betreffend Honorarzuteilung</t>
  </si>
  <si>
    <t xml:space="preserve">Fehlende Informationen können Doppelspurigkeiten oder Leerläufe verursachen. Projektänderungen haben meist auch Auswirkungen auf andere Projektteile. </t>
  </si>
  <si>
    <t>Ungedeckter Mehraufwand im Planerteam
Terminverzug mit Folgekosten
Widersprüche in den Plänen</t>
  </si>
  <si>
    <t>Regelmässige Teamsitzungen
Orientierung des Teams über Entscheide AG mit entsprechendem Protokollverteiler</t>
  </si>
  <si>
    <t>Je nach Organisationsform gibt es Funktionen in einem Projekt, mit denen man nicht unbedingt sehr vertraut ist.</t>
  </si>
  <si>
    <t>Spezielle Organisationsformen können zu ungewohnten Verantwortungsituationen führen.</t>
  </si>
  <si>
    <t>Nichtbeachtung von speziellen Vorgaben (z.B. aus Projekthandbüchern) kann zu Mehraufwand und Ineffizienz führen, in dem man eine Arbeit doppelt machen muss.</t>
  </si>
  <si>
    <t>Ungedeckter Mehraufwand im Planerteam
Terminverzug mit Folgekosten</t>
  </si>
  <si>
    <t>Diskrepanz in den Teilprojekten zwischen Aufwand und Budget
Diskussionen in der Partnerschaft</t>
  </si>
  <si>
    <t>Der Vertrag entspricht nicht einem gängigen Standard (KBOB / SIA / SBB / Kantone / etc.)</t>
  </si>
  <si>
    <t xml:space="preserve">Vertragsprüfung (schon in der Offertphase)
Abweichungen laufend anzeigen
</t>
  </si>
  <si>
    <t>Falls keine phasengerechten Ergebnisse und Grundlagen vorliegen, entsteht Mehraufwand
Im Nachhin angezeigter Mehraufwand führt möglicherweise zu ungedecktem Mehraufwand</t>
  </si>
  <si>
    <t>Ohne die nötigen zeitgerechten Entscheide der Bauherrschaft besteht die Gefahr, dass wir die Termine nicht einhalten können.</t>
  </si>
  <si>
    <t>Mehraufwand / Verzug
Probleme bei der Ressourcenplanung</t>
  </si>
  <si>
    <t>Bei ungeregelten Schnittstellen besteht die Gefahr, dass Projektierungsdifferenzen entstehen.</t>
  </si>
  <si>
    <t>Planungsprogramm erstellen
Aufgabenzuteilung zu externen Projektbeteiligten mit dem AG thematisieren</t>
  </si>
  <si>
    <t>Diskussionen betreffend Verantwortlichkeiten
Schuldzuweisungen bei negativen Abweichungen</t>
  </si>
  <si>
    <t>Planlieferverzug kann zu Schadenersatzforderungen führen.
Probleme bei der Ressourcenplanung</t>
  </si>
  <si>
    <t>Bei einer Baumeistersubmission müssen die wichtigsten Bauzustände definiert sein. Ungenügend untersuchte Bauzustände können zu einem gestörten Bauablauf führen.</t>
  </si>
  <si>
    <t>Mehraufwand im Planerteam
Verzögerungen 
Nachforderungen durch Unternehmer
Schadenersatzforderung an das Planerteam</t>
  </si>
  <si>
    <t>Ein unerfahrenes Team, welches ggf. nicht alle Fachkompetenzen abdeckt, braucht mehr Aufwand, um alle Leistungen zu erbringen. Es können Fehler passieren, die Schaden verursachen. Bei einem zu kleinen Team können wir ev. Termine nicht einhalten.</t>
  </si>
  <si>
    <t>Das Risiko einer solchen Behinderung liegt in der Regel beim AG. Intern könnte eine Verzögerung zu Auslastungs- und Ressourcenproblemen führen, so dass es auch in unserem Interesse liegt, dass der Projektverlauf normal vonstatten geht.</t>
  </si>
  <si>
    <t>Gibt es spezielle Projektablaufvorgaben seitens der Bauherrschaft, die zu beachten sind?</t>
  </si>
  <si>
    <t>Gibt es verschiedene Leistungspakete, die untereinander besonders abgegrenzt werden müssen?</t>
  </si>
  <si>
    <t>Stellt das Projekt und/oder der Planungsprozess besondere Herausforderungen an die interne Kommunikation im Team AeBo oder in einer Planergemeinschaft?</t>
  </si>
  <si>
    <t>Besteht das Projekt aus mehreren Teilprojekten mit verschieden Budgetbestandteilen?</t>
  </si>
  <si>
    <t>Übernehmen wir das Projekt von einem anderen Planer?</t>
  </si>
  <si>
    <t>Ist der geplante Projektverlauf noch von massgebenden Entscheiden der Bauherrschaft abhängig?</t>
  </si>
  <si>
    <t>Besteht die Gefahr, dass aufgrund des gedrängten Terminprogramms die Planungs- und Projektierungsphasen nach SIA nicht korrekt abgeschlossen werden können?</t>
  </si>
  <si>
    <t>Besteht die Gefahr, dass nicht berücksichtigte Anliegen von Betroffenen das Projekt behindern könnten?</t>
  </si>
  <si>
    <t>Bestehen im Projekt speziell zu beachtende Schnittstellen (intern/extern)?</t>
  </si>
  <si>
    <t>Ergeben sich aufgrund spezieller Konstellationen möglicherweise Interessenskonflikte?</t>
  </si>
  <si>
    <t>Sind spezielle Qualitätsanforderungen gefragt?</t>
  </si>
  <si>
    <t>Wird das Projekt auch massgebend durch Bauzustände geprägt?</t>
  </si>
  <si>
    <t>Wenn die Abgrenzung der Schnittstellen nicht klar geregelt ist, besteht die Gefahr, dass gewisse Sachen doppelt gemacht werden, andere jedoch vergessen gehen.
Namentlich in Partnerschaften ist die Abgrenzung auch wichtig betreffend Honorar.</t>
  </si>
  <si>
    <t>Ungedeckter Mehraufwand im Planerteam
Schadenersatzforderungen bei Planverzug
Nachforderungen von Unternehmer bei falschen Ausschreibungen, die der AG nicht deckt</t>
  </si>
  <si>
    <t>Ja</t>
  </si>
  <si>
    <t>Nein</t>
  </si>
  <si>
    <t>Projektbeteiligte, welche innerhalb einer Organisation mehrere Funktionen bekleiden, können Synergien schaffen oder Interessenkonflikte provozieren.
Wenn alles gut läuft, stehen die Synergien im Vordergrunf, wenn nicht ist es umgekehrt.</t>
  </si>
  <si>
    <t>Ist die Teamzusammensetzung von besonderer Wichtigikeit (Grösse, Qualifikation etc.)?</t>
  </si>
  <si>
    <t>Es besteht die Gefahr von speziellen Klauseln zu unseren Ungunsten, wie zum Beispiel Bonus-/Malussysteme etc.
Unterschiedliche Vertragsauslegungen führen zu Diskussionen, namentlich im Nachhinein.</t>
  </si>
  <si>
    <t>Falls keine phasengerechten Ergebnisse und Grundlagen vorliegen, entsteht Mehraufwand
Im Nachhinein angezeigter Mehraufwand führt möglicherweise zu ungedecktem Mehraufwand</t>
  </si>
  <si>
    <t>Ungedeckter Zusatzaufwand bei sich wiederholenden Planungen</t>
  </si>
  <si>
    <t>Ungedeckter Mehraufwand im Planerteam wegen fehlendem Fachwissen
Nachforderungen von Unternehmer bei falschen Ausschreibungen, die der AG nicht deckt.
Ev. Verzug</t>
  </si>
  <si>
    <t>Mögliches Risiko</t>
  </si>
  <si>
    <t>Standard-Vorsorgemassnahmen</t>
  </si>
  <si>
    <t>Besondere Massnahmen</t>
  </si>
  <si>
    <t>Anleitung:</t>
  </si>
  <si>
    <t>Bei Eintretenswahrscheinlichkeit und Konsequenzen</t>
  </si>
  <si>
    <t>je eine Auswahl treffen und mit "x" markieren. Die Zelle</t>
  </si>
  <si>
    <t>"Risikostufe" wird automatisch farblich gekennzeichnet.</t>
  </si>
  <si>
    <t>Sind die Ressourcen zur Einhaltung der Teminvorgaben evtl. nicht vorhanden?</t>
  </si>
  <si>
    <t>Planungsprogramm erstellen.
Bis wann müssen welche Unterlagen erstellt werden, und wer wird dafür benötigt?
Laufende Überwachung des Projektfortschrittes.
Frühzeitig Ressourcen ev. in anderen Bereichen anfordern.
Bestmögliches Team formieren, extern auf bewährte Partner setzen.
Weniger erfahrene MA nur zum Support einsetzen.
Vertiefte Anlayse zu Projektbeginn hinsichtlich der Fachkompetenzen.</t>
  </si>
  <si>
    <t>Vertragliche Regelung, wer für was zuständig ist und wieviel Honorar ihm dafür zusteht.
Regelung bezüglich Vorgehen bei Zusatzarbeiten.
Einfordern eines Projekthandbuches je nach Projektgrösse.
Klare Leisungsbeschriebe zwischen den Projektpartnern auf der Basis  der Vorgaben Bauherr.</t>
  </si>
  <si>
    <t>Bekleidet AeBo im Projekt eine spezielle Funktion, mit der wir nicht unbedingt sehr vertraut sind? (z.B. Federführend in einem TU-Vertrag)</t>
  </si>
  <si>
    <t>Funktion in der Regel nur übernehmen, wenn man auch selber Einfluss nehmen kann.
Abgrenzungen und Vorbehalte formulieren.
Rahmenbedingen selber bestimmen. (z.B. betreffend Kostengarantie).</t>
  </si>
  <si>
    <t>Grundlagenstudium.
Welche Anforderungen / Richtlinien / Typenpläne gelten?
Sind spezielle Normen / Gesetze zu beachten?
Nutzungsvereinbarung erstellen und genehmigen lassen.
Genaue Anayse der zu erbringenden Leistungen und klare Zuweisung zu den Projektpartnern.
Erstellen von Subplanerverträgen mit Externen.</t>
  </si>
  <si>
    <t>Planungsprogramm erstellen.
Aufgabenzuteilung mit Aufwandschätzung und Budgetzuteilung.
Laufender Abgleich der laufenden Arbeiten im Vergleich zum Vertrag (Grundleistung / Zusatz).
Regelmässiges internes Kostencontrolling und rechtzeitiges Anmelden von Nachträgen.</t>
  </si>
  <si>
    <t>Abgleich der laufenden Arbeiten im Vergleich zum Vertrag (Grundleistung / Zusatz).
Ressourcenklärung.</t>
  </si>
  <si>
    <t>Interner Vertrag erstellen (INGE / Subplaner).
Planungsprogramm erstellen.
Aufgabenzuteilung mit Aufwandschätzung und Budgetzuteilung.
Laufender Abgleich der laufenden Arbeiten im Vergleich zum Vertrag (Grundleistung / Zusatz).
Klärung betreffend Verantwortlichkeit bei Gewinn oder Verlust.</t>
  </si>
  <si>
    <t>Grundlagen übernehen und prüfen.
Abweichungen sofort melden. (Zusatzaufwand).
Durchführen Phasenreviewa im Projektea.
Erstellen von Checklisten für Phasenerbenisse.</t>
  </si>
  <si>
    <t>Planungsprogramm erstellen.
AG auf Entscheide aufmerksam machen / Pendenzen formulieren.
Konsequenzen bei fehlenden Entscheiden aufzeigen.
Entscheide vom Auftraggeber einfordern.
Abmahnen, wenn Bauherr in Verzug ist.</t>
  </si>
  <si>
    <t>Planungsprogramm erstellen.
Information des AG über Phasenabschluss.
Einfordern der Genehmigung des Phasenabschlusses vom Auftraggeber bevor nächste Phase gestartet wird.</t>
  </si>
  <si>
    <t>Eigene Stake-Holderanalyse.
Austausch mit AG über Mitwirkungs- und Genehmigungsprozesse.</t>
  </si>
  <si>
    <t>Organigramm erstellen.
Wenn nötig Funktionsbeschriebe formulieren.
Intern: wenn möglich im gleichen Projekt nicht auf verschieden Stufen tätig sein.
Genaue Analyse der Risiken bei Zielkonflikten, d.h. klären, ob Vermischung verschiedener Rollen vereinbar sind..</t>
  </si>
  <si>
    <t>Plaungsprogramm erstellen.
Bis wann müssen welche Unterlagen erstellt werden, und wer wird dafür benötigt?
Laufende Überwachung des Projektfortschrittes
Frühzeitig Ressourcen ev. in anderen Bereichen anfordern.
Laufendes Termincontrolling, intensive Überwachung der wesentlichen Meilensteinen innerhalb einer Phase</t>
  </si>
  <si>
    <t>Eigene Stake-Holderanalyse
Austausch mit AG über Mitwirkungs- und Genehmigungsprozesse.
Mögliche Risiken offen ansprechen.
Rechtzeitiges Einfordern von Projektentscheiden beim Bauherrn.</t>
  </si>
  <si>
    <t>Plaungsprogramm erstellen.
Bis wann müssen welche Unterlagen erstellt werden, und wer wird dafür benötigt?
Laufende Überwachung des Projektfortschrittes.
Frühzeitig Ressourcen ev. in anderen Bereichen anfordern.
Laufende Ressourcenplanung im Team, auch bereichsübergreifend.</t>
  </si>
  <si>
    <t>Grundlagenstudium .
Welche Anforderungen / Richtlinien / Typenpläne gelten?
Sind spezielle Normen / Gesetze zu beachten?
Ev. Zuzug von Spezialisten prüfen.
Vereinbaren eines PQM-Planes und festlegen eines Prüfplanes.</t>
  </si>
  <si>
    <t>Analyse des Bauvorganges im Rahmen des Bauprojektes.
Absprache mit Dritten / Fachstellen.
Bauablauf vom AG genehmigen lassen.
Fundierte Planung vor Submissionsbeginn. Phase Bauprojekt muss abgeschlossen sein.</t>
  </si>
  <si>
    <t>01.10.2020</t>
  </si>
  <si>
    <t>9890 EP RHE FRI, AP SABA</t>
  </si>
  <si>
    <t>Durchführen regelmässiger Kernteamsitzungen (wöchentlich) mit INGE-Partner bzw. dem SubPlaner</t>
  </si>
  <si>
    <t xml:space="preserve">Aufgaben und Abläufe in internem Terminprogramm mit Personaleinsatz abblilden und Arbeitsstand periodisch verifizieren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</si>
</sst>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font>
      <sz val="10"/>
      <name val="Arial"/>
    </font>
    <font>
      <sz val="10"/>
      <name val="Arial"/>
      <family val="2"/>
    </font>
    <font>
      <sz val="11"/>
      <name val="Arial"/>
      <family val="2"/>
    </font>
    <font>
      <b/>
      <sz val="16"/>
      <name val="Arial"/>
      <family val="2"/>
    </font>
    <font>
      <b/>
      <sz val="11"/>
      <color indexed="10"/>
      <name val="Arial"/>
      <family val="2"/>
    </font>
    <font>
      <b/>
      <sz val="9"/>
      <name val="Arial"/>
      <family val="2"/>
    </font>
    <font>
      <sz val="8"/>
      <name val="Arial"/>
      <family val="2"/>
    </font>
    <font>
      <b/>
      <sz val="8"/>
      <name val="Arial"/>
      <family val="2"/>
    </font>
    <font>
      <sz val="9"/>
      <name val="Arial"/>
      <family val="2"/>
    </font>
    <font>
      <b/>
      <sz val="10"/>
      <name val="Arial"/>
      <family val="2"/>
    </font>
    <font>
      <b/>
      <sz val="14"/>
      <name val="Arial"/>
      <family val="2"/>
    </font>
    <font>
      <b/>
      <i/>
      <sz val="10"/>
      <color rgb="FFFF6600"/>
      <name val="Arial"/>
      <family val="2"/>
    </font>
    <font>
      <b/>
      <sz val="11"/>
      <name val="Arial"/>
      <family val="2"/>
    </font>
    <font>
      <b/>
      <sz val="10"/>
      <color indexed="10"/>
      <name val="Arial"/>
      <family val="2"/>
    </font>
  </fonts>
  <fills count="10">
    <fill>
      <patternFill patternType="none"/>
    </fill>
    <fill>
      <patternFill patternType="gray125"/>
    </fill>
    <fill>
      <patternFill patternType="solid">
        <fgColor indexed="9"/>
        <bgColor indexed="64"/>
      </patternFill>
    </fill>
    <fill>
      <patternFill patternType="solid">
        <fgColor indexed="63"/>
        <bgColor indexed="64"/>
      </patternFill>
    </fill>
    <fill>
      <patternFill patternType="solid">
        <fgColor indexed="2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6" tint="0.59999389629810485"/>
        <bgColor indexed="64"/>
      </patternFill>
    </fill>
  </fills>
  <borders count="23">
    <border>
      <left/>
      <right/>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style="thin">
        <color indexed="64"/>
      </left>
      <right/>
      <top/>
      <bottom/>
      <diagonal/>
    </border>
    <border>
      <left/>
      <right/>
      <top style="hair">
        <color auto="1"/>
      </top>
      <bottom style="hair">
        <color auto="1"/>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 fillId="0" borderId="0" applyFont="0" applyFill="0" applyBorder="0" applyAlignment="0" applyProtection="0"/>
  </cellStyleXfs>
  <cellXfs count="98">
    <xf numFmtId="0" fontId="0" fillId="0" borderId="0" xfId="0"/>
    <xf numFmtId="0" fontId="0" fillId="0" borderId="0" xfId="0" applyAlignment="1">
      <alignment horizontal="center"/>
    </xf>
    <xf numFmtId="0" fontId="4" fillId="0" borderId="0" xfId="0" applyFont="1" applyAlignment="1">
      <alignment horizontal="center"/>
    </xf>
    <xf numFmtId="0" fontId="4" fillId="0" borderId="0" xfId="0" applyFont="1" applyBorder="1" applyAlignment="1">
      <alignment horizontal="center"/>
    </xf>
    <xf numFmtId="0" fontId="0" fillId="0" borderId="0" xfId="0" applyAlignment="1">
      <alignment horizontal="left" indent="1"/>
    </xf>
    <xf numFmtId="0" fontId="0" fillId="0" borderId="2" xfId="0" applyBorder="1" applyAlignment="1">
      <alignment horizontal="center"/>
    </xf>
    <xf numFmtId="0" fontId="6" fillId="2" borderId="0" xfId="1" applyFont="1" applyFill="1"/>
    <xf numFmtId="0" fontId="6" fillId="2" borderId="0" xfId="1" applyFont="1" applyFill="1" applyAlignment="1">
      <alignment horizontal="center"/>
    </xf>
    <xf numFmtId="0" fontId="6" fillId="2" borderId="0" xfId="1" applyFont="1" applyFill="1" applyAlignment="1"/>
    <xf numFmtId="0" fontId="6" fillId="2" borderId="0" xfId="1" applyFont="1" applyFill="1" applyAlignment="1">
      <alignment vertical="center"/>
    </xf>
    <xf numFmtId="0" fontId="6" fillId="2" borderId="0" xfId="1" applyFont="1" applyFill="1" applyAlignment="1">
      <alignment horizontal="center" vertical="center"/>
    </xf>
    <xf numFmtId="0" fontId="5" fillId="4" borderId="3" xfId="1" applyFont="1" applyFill="1" applyBorder="1" applyAlignment="1">
      <alignment horizontal="center" vertical="center"/>
    </xf>
    <xf numFmtId="0" fontId="6" fillId="2" borderId="0" xfId="1" applyNumberFormat="1" applyFont="1" applyFill="1" applyBorder="1" applyAlignment="1" applyProtection="1">
      <alignment wrapText="1"/>
      <protection locked="0"/>
    </xf>
    <xf numFmtId="0" fontId="7" fillId="2" borderId="0" xfId="1" applyFont="1" applyFill="1" applyBorder="1"/>
    <xf numFmtId="0" fontId="6" fillId="2" borderId="0" xfId="1" applyFont="1" applyFill="1" applyBorder="1" applyAlignment="1" applyProtection="1">
      <alignment wrapText="1"/>
      <protection locked="0"/>
    </xf>
    <xf numFmtId="0" fontId="10" fillId="2" borderId="0" xfId="1" applyFont="1" applyFill="1" applyAlignment="1"/>
    <xf numFmtId="0" fontId="8" fillId="2" borderId="0" xfId="1" applyFont="1" applyFill="1" applyAlignment="1">
      <alignment horizontal="center"/>
    </xf>
    <xf numFmtId="0" fontId="8" fillId="2" borderId="0" xfId="1" applyFont="1" applyFill="1" applyAlignment="1"/>
    <xf numFmtId="0" fontId="8" fillId="2" borderId="0" xfId="1" applyFont="1" applyFill="1"/>
    <xf numFmtId="0" fontId="8" fillId="2" borderId="0" xfId="1" applyFont="1" applyFill="1" applyBorder="1" applyAlignment="1"/>
    <xf numFmtId="0" fontId="8" fillId="2" borderId="0" xfId="1" applyFont="1" applyFill="1" applyBorder="1"/>
    <xf numFmtId="0" fontId="8" fillId="2" borderId="0" xfId="1" applyFont="1" applyFill="1" applyBorder="1" applyAlignment="1">
      <alignment horizontal="center"/>
    </xf>
    <xf numFmtId="0" fontId="5" fillId="4" borderId="3" xfId="1" applyFont="1" applyFill="1" applyBorder="1" applyAlignment="1">
      <alignment horizontal="center" vertical="center" textRotation="90"/>
    </xf>
    <xf numFmtId="0" fontId="8" fillId="4" borderId="12" xfId="1" applyFont="1" applyFill="1" applyBorder="1" applyAlignment="1">
      <alignment horizontal="center" textRotation="90"/>
    </xf>
    <xf numFmtId="0" fontId="8" fillId="4" borderId="13" xfId="1" applyFont="1" applyFill="1" applyBorder="1" applyAlignment="1">
      <alignment horizontal="center" textRotation="90"/>
    </xf>
    <xf numFmtId="0" fontId="8" fillId="4" borderId="14" xfId="1" applyFont="1" applyFill="1" applyBorder="1" applyAlignment="1">
      <alignment horizontal="center" textRotation="90"/>
    </xf>
    <xf numFmtId="0" fontId="6" fillId="2" borderId="0" xfId="1" applyFont="1" applyFill="1" applyAlignment="1">
      <alignment horizontal="left"/>
    </xf>
    <xf numFmtId="0" fontId="6" fillId="2" borderId="0" xfId="1" applyFont="1" applyFill="1" applyAlignment="1">
      <alignment horizontal="left" vertical="center"/>
    </xf>
    <xf numFmtId="0" fontId="6" fillId="2" borderId="0" xfId="1" applyFont="1" applyFill="1" applyAlignment="1">
      <alignment horizontal="center" vertical="center" wrapText="1"/>
    </xf>
    <xf numFmtId="0" fontId="8" fillId="2" borderId="11" xfId="1" applyFont="1" applyFill="1" applyBorder="1" applyAlignment="1">
      <alignment horizontal="center" vertical="center" wrapText="1"/>
    </xf>
    <xf numFmtId="0" fontId="6" fillId="2" borderId="0" xfId="1" applyFont="1" applyFill="1" applyAlignment="1">
      <alignment horizontal="left" vertical="center" wrapText="1"/>
    </xf>
    <xf numFmtId="0" fontId="6" fillId="2" borderId="0" xfId="1" applyFont="1" applyFill="1" applyAlignment="1">
      <alignment vertical="center" wrapText="1"/>
    </xf>
    <xf numFmtId="0" fontId="9" fillId="0" borderId="0" xfId="0" applyFont="1" applyAlignment="1">
      <alignment horizontal="center"/>
    </xf>
    <xf numFmtId="0" fontId="5" fillId="0" borderId="18" xfId="1" applyFont="1" applyFill="1" applyBorder="1" applyAlignment="1">
      <alignment horizontal="center" vertical="center"/>
    </xf>
    <xf numFmtId="0" fontId="6" fillId="2" borderId="0" xfId="1" applyFont="1" applyFill="1" applyBorder="1" applyAlignment="1">
      <alignment horizontal="left"/>
    </xf>
    <xf numFmtId="0" fontId="8" fillId="2" borderId="0" xfId="1" applyFont="1" applyFill="1" applyAlignment="1">
      <alignment horizontal="left"/>
    </xf>
    <xf numFmtId="0" fontId="7" fillId="2" borderId="0" xfId="1" applyFont="1" applyFill="1" applyBorder="1" applyAlignment="1">
      <alignment horizontal="left" vertical="center"/>
    </xf>
    <xf numFmtId="0" fontId="6" fillId="2" borderId="0" xfId="1" applyFont="1" applyFill="1" applyBorder="1" applyAlignment="1">
      <alignment horizontal="left" vertical="center" wrapText="1"/>
    </xf>
    <xf numFmtId="0" fontId="6" fillId="2" borderId="0" xfId="1" applyFont="1" applyFill="1" applyBorder="1" applyAlignment="1">
      <alignment horizontal="left" wrapText="1"/>
    </xf>
    <xf numFmtId="0" fontId="8" fillId="2" borderId="11" xfId="1" applyFont="1" applyFill="1" applyBorder="1" applyAlignment="1">
      <alignment vertical="center" wrapText="1"/>
    </xf>
    <xf numFmtId="0" fontId="8" fillId="2" borderId="15" xfId="1" applyFont="1" applyFill="1" applyBorder="1" applyAlignment="1" applyProtection="1">
      <alignment horizontal="center" vertical="center" wrapText="1"/>
      <protection locked="0"/>
    </xf>
    <xf numFmtId="0" fontId="8" fillId="2" borderId="16" xfId="1" applyFont="1" applyFill="1" applyBorder="1" applyAlignment="1" applyProtection="1">
      <alignment horizontal="center" vertical="center" wrapText="1"/>
      <protection locked="0"/>
    </xf>
    <xf numFmtId="0" fontId="8" fillId="2" borderId="17" xfId="1" applyFont="1" applyFill="1" applyBorder="1" applyAlignment="1" applyProtection="1">
      <alignment horizontal="center" vertical="center" wrapText="1"/>
      <protection locked="0"/>
    </xf>
    <xf numFmtId="2" fontId="8" fillId="6" borderId="11" xfId="1" applyNumberFormat="1" applyFont="1" applyFill="1" applyBorder="1" applyAlignment="1">
      <alignment horizontal="center" vertical="center" wrapText="1"/>
    </xf>
    <xf numFmtId="0" fontId="8" fillId="2" borderId="11" xfId="1" applyFont="1" applyFill="1" applyBorder="1" applyAlignment="1" applyProtection="1">
      <alignment horizontal="left" vertical="center" wrapText="1"/>
      <protection locked="0"/>
    </xf>
    <xf numFmtId="0" fontId="8" fillId="2" borderId="3" xfId="1" applyFont="1" applyFill="1" applyBorder="1" applyAlignment="1" applyProtection="1">
      <alignment horizontal="left" vertical="center" wrapText="1"/>
      <protection locked="0"/>
    </xf>
    <xf numFmtId="0" fontId="1" fillId="0" borderId="0" xfId="0" applyFont="1" applyAlignment="1">
      <alignment horizontal="left"/>
    </xf>
    <xf numFmtId="0" fontId="1" fillId="0" borderId="0" xfId="0" applyFont="1"/>
    <xf numFmtId="0" fontId="1" fillId="0" borderId="0" xfId="0" applyFont="1" applyAlignment="1"/>
    <xf numFmtId="0" fontId="1" fillId="0" borderId="0" xfId="0" applyFont="1" applyBorder="1" applyAlignment="1">
      <alignment horizontal="center"/>
    </xf>
    <xf numFmtId="0" fontId="13" fillId="0" borderId="0" xfId="0" applyFont="1" applyBorder="1" applyAlignment="1">
      <alignment horizontal="center"/>
    </xf>
    <xf numFmtId="0" fontId="1" fillId="0" borderId="0" xfId="0" applyFont="1" applyBorder="1" applyAlignment="1"/>
    <xf numFmtId="0" fontId="1" fillId="7" borderId="3" xfId="0" applyFont="1" applyFill="1" applyBorder="1" applyAlignment="1">
      <alignment horizontal="center"/>
    </xf>
    <xf numFmtId="0" fontId="0" fillId="0" borderId="0" xfId="0" applyBorder="1" applyAlignment="1"/>
    <xf numFmtId="0" fontId="0" fillId="0" borderId="0" xfId="0" applyAlignment="1"/>
    <xf numFmtId="0" fontId="9" fillId="5" borderId="0" xfId="0" applyFont="1" applyFill="1" applyAlignment="1"/>
    <xf numFmtId="0" fontId="9" fillId="8" borderId="0" xfId="0" applyFont="1" applyFill="1" applyAlignment="1"/>
    <xf numFmtId="0" fontId="9" fillId="9" borderId="0" xfId="0" applyFont="1" applyFill="1" applyAlignment="1"/>
    <xf numFmtId="0" fontId="1" fillId="0" borderId="0" xfId="0" applyFont="1" applyAlignment="1">
      <alignment wrapText="1"/>
    </xf>
    <xf numFmtId="0" fontId="0" fillId="0" borderId="2" xfId="0" applyBorder="1" applyAlignment="1">
      <alignment wrapText="1"/>
    </xf>
    <xf numFmtId="0" fontId="0" fillId="0" borderId="0" xfId="0" applyBorder="1" applyAlignment="1">
      <alignment wrapText="1"/>
    </xf>
    <xf numFmtId="0" fontId="0" fillId="0" borderId="0" xfId="0" applyAlignment="1">
      <alignment wrapText="1"/>
    </xf>
    <xf numFmtId="0" fontId="2" fillId="0" borderId="0" xfId="0" applyFont="1" applyBorder="1" applyAlignment="1">
      <alignment wrapText="1"/>
    </xf>
    <xf numFmtId="0" fontId="1" fillId="0" borderId="0" xfId="0" applyFont="1" applyBorder="1" applyAlignment="1">
      <alignment wrapText="1"/>
    </xf>
    <xf numFmtId="0" fontId="9" fillId="0" borderId="0" xfId="0" applyFont="1" applyFill="1" applyBorder="1" applyAlignment="1">
      <alignment horizontal="right" wrapText="1"/>
    </xf>
    <xf numFmtId="0" fontId="1" fillId="0" borderId="0" xfId="0" applyFont="1" applyAlignment="1">
      <alignment horizontal="left" vertical="top" wrapText="1"/>
    </xf>
    <xf numFmtId="0" fontId="1" fillId="3" borderId="4" xfId="0" applyFont="1" applyFill="1" applyBorder="1" applyAlignment="1" applyProtection="1">
      <alignment horizontal="center" vertical="top"/>
      <protection locked="0"/>
    </xf>
    <xf numFmtId="0" fontId="13" fillId="0" borderId="0" xfId="0" applyFont="1" applyAlignment="1">
      <alignment horizontal="center" vertical="top"/>
    </xf>
    <xf numFmtId="0" fontId="1" fillId="0" borderId="0" xfId="0" applyFont="1" applyAlignment="1">
      <alignment vertical="top"/>
    </xf>
    <xf numFmtId="0" fontId="1" fillId="3" borderId="5" xfId="0" applyFont="1" applyFill="1" applyBorder="1" applyAlignment="1" applyProtection="1">
      <alignment horizontal="center" vertical="top"/>
      <protection locked="0"/>
    </xf>
    <xf numFmtId="0" fontId="1" fillId="3" borderId="6" xfId="0" applyFont="1" applyFill="1" applyBorder="1" applyAlignment="1" applyProtection="1">
      <alignment horizontal="center" vertical="top"/>
      <protection locked="0"/>
    </xf>
    <xf numFmtId="0" fontId="1" fillId="5" borderId="19" xfId="0" applyFont="1" applyFill="1" applyBorder="1" applyAlignment="1">
      <alignment horizontal="left" vertical="top"/>
    </xf>
    <xf numFmtId="0" fontId="1" fillId="8" borderId="19" xfId="0" applyFont="1" applyFill="1" applyBorder="1" applyAlignment="1">
      <alignment vertical="top"/>
    </xf>
    <xf numFmtId="0" fontId="1" fillId="9" borderId="19" xfId="0" applyFont="1" applyFill="1" applyBorder="1" applyAlignment="1">
      <alignment vertical="top"/>
    </xf>
    <xf numFmtId="0" fontId="1" fillId="5" borderId="19" xfId="0" applyFont="1" applyFill="1" applyBorder="1" applyAlignment="1">
      <alignment vertical="top"/>
    </xf>
    <xf numFmtId="0" fontId="1" fillId="8" borderId="19" xfId="0" applyFont="1" applyFill="1" applyBorder="1" applyAlignment="1">
      <alignment horizontal="left" vertical="top"/>
    </xf>
    <xf numFmtId="0" fontId="0" fillId="0" borderId="0" xfId="0" applyBorder="1" applyAlignment="1">
      <alignment horizontal="center"/>
    </xf>
    <xf numFmtId="0" fontId="1" fillId="3" borderId="20" xfId="0" applyFont="1" applyFill="1" applyBorder="1" applyAlignment="1" applyProtection="1">
      <alignment horizontal="center" vertical="top"/>
      <protection locked="0"/>
    </xf>
    <xf numFmtId="0" fontId="1" fillId="7" borderId="7" xfId="0" applyFont="1" applyFill="1" applyBorder="1" applyAlignment="1">
      <alignment horizontal="center"/>
    </xf>
    <xf numFmtId="0" fontId="1" fillId="7" borderId="11" xfId="0" applyFont="1" applyFill="1" applyBorder="1" applyAlignment="1">
      <alignment horizontal="center"/>
    </xf>
    <xf numFmtId="0" fontId="1" fillId="7" borderId="22" xfId="0" applyFont="1" applyFill="1" applyBorder="1" applyAlignment="1">
      <alignment horizontal="center"/>
    </xf>
    <xf numFmtId="0" fontId="3" fillId="0" borderId="2" xfId="0" applyFont="1" applyBorder="1" applyAlignment="1">
      <alignment horizontal="left"/>
    </xf>
    <xf numFmtId="0" fontId="0" fillId="0" borderId="0" xfId="0" applyBorder="1" applyAlignment="1">
      <alignment horizontal="left"/>
    </xf>
    <xf numFmtId="0" fontId="0" fillId="0" borderId="0" xfId="0" applyAlignment="1">
      <alignment horizontal="left"/>
    </xf>
    <xf numFmtId="0" fontId="12" fillId="0" borderId="0" xfId="0" applyFont="1" applyBorder="1" applyAlignment="1">
      <alignment horizontal="left"/>
    </xf>
    <xf numFmtId="0" fontId="9" fillId="0" borderId="0" xfId="0" applyFont="1" applyBorder="1" applyAlignment="1">
      <alignment horizontal="left"/>
    </xf>
    <xf numFmtId="0" fontId="7" fillId="2" borderId="0" xfId="1" applyFont="1" applyFill="1" applyAlignment="1">
      <alignment horizontal="right" vertical="center"/>
    </xf>
    <xf numFmtId="0" fontId="3" fillId="0" borderId="0" xfId="0" applyFont="1" applyBorder="1" applyAlignment="1">
      <alignment horizontal="left"/>
    </xf>
    <xf numFmtId="0" fontId="5" fillId="2" borderId="0" xfId="1" applyFont="1" applyFill="1" applyAlignment="1">
      <alignment horizontal="left"/>
    </xf>
    <xf numFmtId="0" fontId="0" fillId="0" borderId="0" xfId="0" applyBorder="1" applyAlignment="1">
      <alignment horizontal="left" vertical="top" wrapText="1"/>
    </xf>
    <xf numFmtId="0" fontId="1" fillId="7" borderId="21" xfId="0" applyFont="1" applyFill="1" applyBorder="1" applyAlignment="1">
      <alignment horizontal="center"/>
    </xf>
    <xf numFmtId="0" fontId="1" fillId="7" borderId="22" xfId="0" applyFont="1" applyFill="1" applyBorder="1" applyAlignment="1">
      <alignment horizontal="center"/>
    </xf>
    <xf numFmtId="0" fontId="5" fillId="4" borderId="10" xfId="1" applyFont="1" applyFill="1" applyBorder="1" applyAlignment="1">
      <alignment horizontal="center" wrapText="1"/>
    </xf>
    <xf numFmtId="0" fontId="5" fillId="4" borderId="1" xfId="1" applyFont="1" applyFill="1" applyBorder="1" applyAlignment="1">
      <alignment horizontal="center" wrapText="1"/>
    </xf>
    <xf numFmtId="0" fontId="5" fillId="4" borderId="9" xfId="1" applyFont="1" applyFill="1" applyBorder="1" applyAlignment="1">
      <alignment horizontal="center" wrapText="1"/>
    </xf>
    <xf numFmtId="0" fontId="5" fillId="4" borderId="8" xfId="1" applyFont="1" applyFill="1" applyBorder="1" applyAlignment="1">
      <alignment horizontal="center" wrapText="1"/>
    </xf>
    <xf numFmtId="0" fontId="5" fillId="4" borderId="2" xfId="1" applyFont="1" applyFill="1" applyBorder="1" applyAlignment="1">
      <alignment horizontal="center" wrapText="1"/>
    </xf>
    <xf numFmtId="0" fontId="5" fillId="4" borderId="7" xfId="1" applyFont="1" applyFill="1" applyBorder="1" applyAlignment="1">
      <alignment horizontal="center" wrapText="1"/>
    </xf>
  </cellXfs>
  <cellStyles count="3">
    <cellStyle name="Prozent 2" xfId="2"/>
    <cellStyle name="Standard" xfId="0" builtinId="0"/>
    <cellStyle name="Standard 2" xfId="1"/>
  </cellStyles>
  <dxfs count="6">
    <dxf>
      <font>
        <color rgb="FFFF0000"/>
      </font>
      <fill>
        <patternFill>
          <bgColor rgb="FFFF0000"/>
        </patternFill>
      </fill>
    </dxf>
    <dxf>
      <font>
        <color rgb="FFFFFF00"/>
      </font>
      <fill>
        <patternFill>
          <bgColor rgb="FFFFFF00"/>
        </patternFill>
      </fill>
    </dxf>
    <dxf>
      <font>
        <color rgb="FF00B050"/>
      </font>
      <fill>
        <patternFill>
          <bgColor rgb="FF00B050"/>
        </patternFill>
      </fill>
    </dxf>
    <dxf>
      <fill>
        <patternFill>
          <bgColor indexed="47"/>
        </patternFill>
      </fill>
    </dxf>
    <dxf>
      <fill>
        <patternFill>
          <bgColor indexed="43"/>
        </patternFill>
      </fill>
    </dxf>
    <dxf>
      <fill>
        <patternFill>
          <bgColor indexed="1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28575</xdr:colOff>
      <xdr:row>2</xdr:row>
      <xdr:rowOff>9525</xdr:rowOff>
    </xdr:from>
    <xdr:to>
      <xdr:col>1</xdr:col>
      <xdr:colOff>1190625</xdr:colOff>
      <xdr:row>2</xdr:row>
      <xdr:rowOff>190500</xdr:rowOff>
    </xdr:to>
    <xdr:sp macro="" textlink="">
      <xdr:nvSpPr>
        <xdr:cNvPr id="16401" name="Text Box 17"/>
        <xdr:cNvSpPr txBox="1">
          <a:spLocks noChangeArrowheads="1"/>
        </xdr:cNvSpPr>
      </xdr:nvSpPr>
      <xdr:spPr bwMode="auto">
        <a:xfrm>
          <a:off x="28575" y="438150"/>
          <a:ext cx="16192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Projektname</a:t>
          </a:r>
        </a:p>
      </xdr:txBody>
    </xdr:sp>
    <xdr:clientData/>
  </xdr:twoCellAnchor>
  <xdr:twoCellAnchor>
    <xdr:from>
      <xdr:col>0</xdr:col>
      <xdr:colOff>28575</xdr:colOff>
      <xdr:row>3</xdr:row>
      <xdr:rowOff>0</xdr:rowOff>
    </xdr:from>
    <xdr:to>
      <xdr:col>1</xdr:col>
      <xdr:colOff>1190625</xdr:colOff>
      <xdr:row>3</xdr:row>
      <xdr:rowOff>180975</xdr:rowOff>
    </xdr:to>
    <xdr:sp macro="" textlink="">
      <xdr:nvSpPr>
        <xdr:cNvPr id="16402" name="Text Box 18"/>
        <xdr:cNvSpPr txBox="1">
          <a:spLocks noChangeArrowheads="1"/>
        </xdr:cNvSpPr>
      </xdr:nvSpPr>
      <xdr:spPr bwMode="auto">
        <a:xfrm>
          <a:off x="28575" y="628650"/>
          <a:ext cx="16192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Auftragsnummer</a:t>
          </a:r>
        </a:p>
      </xdr:txBody>
    </xdr:sp>
    <xdr:clientData/>
  </xdr:twoCellAnchor>
  <xdr:twoCellAnchor>
    <xdr:from>
      <xdr:col>0</xdr:col>
      <xdr:colOff>28575</xdr:colOff>
      <xdr:row>4</xdr:row>
      <xdr:rowOff>0</xdr:rowOff>
    </xdr:from>
    <xdr:to>
      <xdr:col>1</xdr:col>
      <xdr:colOff>1190625</xdr:colOff>
      <xdr:row>4</xdr:row>
      <xdr:rowOff>180975</xdr:rowOff>
    </xdr:to>
    <xdr:sp macro="" textlink="">
      <xdr:nvSpPr>
        <xdr:cNvPr id="16403" name="Text Box 19"/>
        <xdr:cNvSpPr txBox="1">
          <a:spLocks noChangeArrowheads="1"/>
        </xdr:cNvSpPr>
      </xdr:nvSpPr>
      <xdr:spPr bwMode="auto">
        <a:xfrm>
          <a:off x="28575" y="895350"/>
          <a:ext cx="1466850" cy="1809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Datum</a:t>
          </a:r>
        </a:p>
      </xdr:txBody>
    </xdr:sp>
    <xdr:clientData/>
  </xdr:twoCellAnchor>
  <xdr:twoCellAnchor>
    <xdr:from>
      <xdr:col>1</xdr:col>
      <xdr:colOff>1200150</xdr:colOff>
      <xdr:row>2</xdr:row>
      <xdr:rowOff>9525</xdr:rowOff>
    </xdr:from>
    <xdr:to>
      <xdr:col>1</xdr:col>
      <xdr:colOff>4257675</xdr:colOff>
      <xdr:row>2</xdr:row>
      <xdr:rowOff>190500</xdr:rowOff>
    </xdr:to>
    <xdr:sp macro="" textlink="Risikobewertung!B3">
      <xdr:nvSpPr>
        <xdr:cNvPr id="16404" name="Textfeld 4"/>
        <xdr:cNvSpPr txBox="1">
          <a:spLocks noChangeArrowheads="1" noTextEdit="1"/>
        </xdr:cNvSpPr>
      </xdr:nvSpPr>
      <xdr:spPr bwMode="auto">
        <a:xfrm>
          <a:off x="1657350" y="4381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A690580D-FC44-4DC9-886D-EB26066F2FBE}" type="TxLink">
            <a:rPr lang="en-US" sz="1000" b="0" i="0" u="none" strike="noStrike">
              <a:solidFill>
                <a:srgbClr val="000000"/>
              </a:solidFill>
              <a:latin typeface="Arial"/>
              <a:cs typeface="Arial"/>
            </a:rPr>
            <a:pPr/>
            <a:t>9890 EP RHE FRI, AP SABA</a:t>
          </a:fld>
          <a:endParaRPr lang="de-DE" sz="1000"/>
        </a:p>
      </xdr:txBody>
    </xdr:sp>
    <xdr:clientData/>
  </xdr:twoCellAnchor>
  <xdr:twoCellAnchor>
    <xdr:from>
      <xdr:col>1</xdr:col>
      <xdr:colOff>1200150</xdr:colOff>
      <xdr:row>3</xdr:row>
      <xdr:rowOff>0</xdr:rowOff>
    </xdr:from>
    <xdr:to>
      <xdr:col>1</xdr:col>
      <xdr:colOff>4257675</xdr:colOff>
      <xdr:row>3</xdr:row>
      <xdr:rowOff>180975</xdr:rowOff>
    </xdr:to>
    <xdr:sp macro="" textlink="Risikobewertung!B4">
      <xdr:nvSpPr>
        <xdr:cNvPr id="16405" name="Text Box 21"/>
        <xdr:cNvSpPr txBox="1">
          <a:spLocks noChangeArrowheads="1" noTextEdit="1"/>
        </xdr:cNvSpPr>
      </xdr:nvSpPr>
      <xdr:spPr bwMode="auto">
        <a:xfrm>
          <a:off x="1657350" y="6286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C31662FE-8490-4ED8-9DD9-FA0ABD6E5F81}" type="TxLink">
            <a:rPr lang="en-US" sz="1000" b="0" i="0" u="none" strike="noStrike">
              <a:solidFill>
                <a:srgbClr val="000000"/>
              </a:solidFill>
              <a:latin typeface="Arial"/>
              <a:cs typeface="Arial"/>
            </a:rPr>
            <a:pPr/>
            <a:t>9890.42</a:t>
          </a:fld>
          <a:endParaRPr lang="de-DE" sz="1000"/>
        </a:p>
      </xdr:txBody>
    </xdr:sp>
    <xdr:clientData/>
  </xdr:twoCellAnchor>
  <xdr:twoCellAnchor>
    <xdr:from>
      <xdr:col>1</xdr:col>
      <xdr:colOff>1200150</xdr:colOff>
      <xdr:row>4</xdr:row>
      <xdr:rowOff>0</xdr:rowOff>
    </xdr:from>
    <xdr:to>
      <xdr:col>1</xdr:col>
      <xdr:colOff>4257675</xdr:colOff>
      <xdr:row>4</xdr:row>
      <xdr:rowOff>180975</xdr:rowOff>
    </xdr:to>
    <xdr:sp macro="" textlink="Risikobewertung!B5">
      <xdr:nvSpPr>
        <xdr:cNvPr id="16406" name="Text Box 22"/>
        <xdr:cNvSpPr txBox="1">
          <a:spLocks noChangeArrowheads="1" noTextEdit="1"/>
        </xdr:cNvSpPr>
      </xdr:nvSpPr>
      <xdr:spPr bwMode="auto">
        <a:xfrm>
          <a:off x="1504950" y="895350"/>
          <a:ext cx="3057525" cy="1809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6C7B29C4-667C-41CD-85E8-65CBD01111DE}" type="TxLink">
            <a:rPr lang="en-US" sz="1000" b="0" i="0" u="none" strike="noStrike">
              <a:solidFill>
                <a:srgbClr val="000000"/>
              </a:solidFill>
              <a:latin typeface="Arial"/>
              <a:cs typeface="Arial"/>
            </a:rPr>
            <a:pPr/>
            <a:t>01.10.2020</a:t>
          </a:fld>
          <a:endParaRPr lang="de-DE" sz="1000"/>
        </a:p>
      </xdr:txBody>
    </xdr:sp>
    <xdr:clientData/>
  </xdr:twoCellAnchor>
  <mc:AlternateContent xmlns:mc="http://schemas.openxmlformats.org/markup-compatibility/2006">
    <mc:Choice xmlns:a14="http://schemas.microsoft.com/office/drawing/2010/main" Requires="a14">
      <xdr:twoCellAnchor editAs="oneCell">
        <xdr:from>
          <xdr:col>1</xdr:col>
          <xdr:colOff>4400550</xdr:colOff>
          <xdr:row>0</xdr:row>
          <xdr:rowOff>28575</xdr:rowOff>
        </xdr:from>
        <xdr:to>
          <xdr:col>3</xdr:col>
          <xdr:colOff>85725</xdr:colOff>
          <xdr:row>2</xdr:row>
          <xdr:rowOff>66675</xdr:rowOff>
        </xdr:to>
        <xdr:sp macro="" textlink="">
          <xdr:nvSpPr>
            <xdr:cNvPr id="16399" name="CommandButton1" hidden="1">
              <a:extLst>
                <a:ext uri="{63B3BB69-23CF-44E3-9099-C40C66FF867C}">
                  <a14:compatExt spid="_x0000_s1639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1924050</xdr:colOff>
          <xdr:row>0</xdr:row>
          <xdr:rowOff>190500</xdr:rowOff>
        </xdr:from>
        <xdr:to>
          <xdr:col>4</xdr:col>
          <xdr:colOff>47625</xdr:colOff>
          <xdr:row>4</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0" tIns="10800" rIns="0" bIns="10800" anchor="ctr" upright="1"/>
            <a:lstStyle/>
            <a:p>
              <a:pPr algn="ctr" rtl="0">
                <a:defRPr sz="1000"/>
              </a:pPr>
              <a:r>
                <a:rPr lang="de-CH" sz="1000" b="1" i="1" u="none" strike="noStrike" baseline="0">
                  <a:solidFill>
                    <a:srgbClr val="FF6600"/>
                  </a:solidFill>
                  <a:latin typeface="Arial"/>
                  <a:cs typeface="Arial"/>
                </a:rPr>
                <a:t>Zeilenhöhe anpassen und leere Zeilen ausblenden</a:t>
              </a:r>
            </a:p>
          </xdr:txBody>
        </xdr:sp>
        <xdr:clientData fPrintsWithSheet="0"/>
      </xdr:twoCellAnchor>
    </mc:Choice>
    <mc:Fallback/>
  </mc:AlternateContent>
  <xdr:twoCellAnchor>
    <xdr:from>
      <xdr:col>0</xdr:col>
      <xdr:colOff>28575</xdr:colOff>
      <xdr:row>1</xdr:row>
      <xdr:rowOff>123825</xdr:rowOff>
    </xdr:from>
    <xdr:to>
      <xdr:col>1</xdr:col>
      <xdr:colOff>1152525</xdr:colOff>
      <xdr:row>3</xdr:row>
      <xdr:rowOff>38100</xdr:rowOff>
    </xdr:to>
    <xdr:sp macro="" textlink="">
      <xdr:nvSpPr>
        <xdr:cNvPr id="3" name="Text Box 17"/>
        <xdr:cNvSpPr txBox="1">
          <a:spLocks noChangeArrowheads="1"/>
        </xdr:cNvSpPr>
      </xdr:nvSpPr>
      <xdr:spPr bwMode="auto">
        <a:xfrm>
          <a:off x="790575" y="285750"/>
          <a:ext cx="1495425" cy="23812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Projektname</a:t>
          </a:r>
        </a:p>
      </xdr:txBody>
    </xdr:sp>
    <xdr:clientData/>
  </xdr:twoCellAnchor>
  <xdr:twoCellAnchor>
    <xdr:from>
      <xdr:col>0</xdr:col>
      <xdr:colOff>28575</xdr:colOff>
      <xdr:row>3</xdr:row>
      <xdr:rowOff>47625</xdr:rowOff>
    </xdr:from>
    <xdr:to>
      <xdr:col>1</xdr:col>
      <xdr:colOff>1152525</xdr:colOff>
      <xdr:row>4</xdr:row>
      <xdr:rowOff>104775</xdr:rowOff>
    </xdr:to>
    <xdr:sp macro="" textlink="">
      <xdr:nvSpPr>
        <xdr:cNvPr id="4" name="Text Box 18"/>
        <xdr:cNvSpPr txBox="1">
          <a:spLocks noChangeArrowheads="1"/>
        </xdr:cNvSpPr>
      </xdr:nvSpPr>
      <xdr:spPr bwMode="auto">
        <a:xfrm>
          <a:off x="790575" y="533400"/>
          <a:ext cx="1495425" cy="21907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Auftragsnummer</a:t>
          </a:r>
        </a:p>
      </xdr:txBody>
    </xdr:sp>
    <xdr:clientData/>
  </xdr:twoCellAnchor>
  <xdr:twoCellAnchor>
    <xdr:from>
      <xdr:col>0</xdr:col>
      <xdr:colOff>28575</xdr:colOff>
      <xdr:row>4</xdr:row>
      <xdr:rowOff>114300</xdr:rowOff>
    </xdr:from>
    <xdr:to>
      <xdr:col>1</xdr:col>
      <xdr:colOff>1152525</xdr:colOff>
      <xdr:row>6</xdr:row>
      <xdr:rowOff>28575</xdr:rowOff>
    </xdr:to>
    <xdr:sp macro="" textlink="">
      <xdr:nvSpPr>
        <xdr:cNvPr id="5" name="Text Box 19"/>
        <xdr:cNvSpPr txBox="1">
          <a:spLocks noChangeArrowheads="1"/>
        </xdr:cNvSpPr>
      </xdr:nvSpPr>
      <xdr:spPr bwMode="auto">
        <a:xfrm>
          <a:off x="790575" y="762000"/>
          <a:ext cx="1495425" cy="238125"/>
        </a:xfrm>
        <a:prstGeom prst="rect">
          <a:avLst/>
        </a:prstGeom>
        <a:solidFill>
          <a:srgbClr val="FFFFCC"/>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36000" tIns="0" rIns="90000" bIns="0" anchor="ctr" upright="1"/>
        <a:lstStyle/>
        <a:p>
          <a:pPr algn="l" rtl="0">
            <a:defRPr sz="1000"/>
          </a:pPr>
          <a:r>
            <a:rPr lang="de-CH" sz="1000" b="1" i="0" u="none" strike="noStrike" baseline="0">
              <a:solidFill>
                <a:srgbClr val="000000"/>
              </a:solidFill>
              <a:latin typeface="Arial"/>
              <a:cs typeface="Arial"/>
            </a:rPr>
            <a:t>Datum</a:t>
          </a:r>
        </a:p>
      </xdr:txBody>
    </xdr:sp>
    <xdr:clientData/>
  </xdr:twoCellAnchor>
  <xdr:twoCellAnchor>
    <xdr:from>
      <xdr:col>1</xdr:col>
      <xdr:colOff>1162050</xdr:colOff>
      <xdr:row>1</xdr:row>
      <xdr:rowOff>123825</xdr:rowOff>
    </xdr:from>
    <xdr:to>
      <xdr:col>2</xdr:col>
      <xdr:colOff>1552575</xdr:colOff>
      <xdr:row>3</xdr:row>
      <xdr:rowOff>38100</xdr:rowOff>
    </xdr:to>
    <xdr:sp macro="" textlink="B3">
      <xdr:nvSpPr>
        <xdr:cNvPr id="6" name="Textfeld 4"/>
        <xdr:cNvSpPr txBox="1">
          <a:spLocks noChangeArrowheads="1" noTextEdit="1"/>
        </xdr:cNvSpPr>
      </xdr:nvSpPr>
      <xdr:spPr bwMode="auto">
        <a:xfrm>
          <a:off x="2286000" y="285750"/>
          <a:ext cx="762000" cy="23812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46FD7BAA-C83B-4CED-92AC-40400F7128C2}" type="TxLink">
            <a:rPr lang="de-DE" sz="1000">
              <a:latin typeface="Arial" panose="020B0604020202020204" pitchFamily="34" charset="0"/>
              <a:cs typeface="Arial" panose="020B0604020202020204" pitchFamily="34" charset="0"/>
            </a:rPr>
            <a:pPr/>
            <a:t>9890 EP RHE FRI, AP SABA</a:t>
          </a:fld>
          <a:endParaRPr lang="de-DE" sz="1000">
            <a:latin typeface="Arial" panose="020B0604020202020204" pitchFamily="34" charset="0"/>
            <a:cs typeface="Arial" panose="020B0604020202020204" pitchFamily="34" charset="0"/>
          </a:endParaRPr>
        </a:p>
      </xdr:txBody>
    </xdr:sp>
    <xdr:clientData/>
  </xdr:twoCellAnchor>
  <xdr:twoCellAnchor>
    <xdr:from>
      <xdr:col>1</xdr:col>
      <xdr:colOff>1162050</xdr:colOff>
      <xdr:row>3</xdr:row>
      <xdr:rowOff>47625</xdr:rowOff>
    </xdr:from>
    <xdr:to>
      <xdr:col>2</xdr:col>
      <xdr:colOff>1552575</xdr:colOff>
      <xdr:row>4</xdr:row>
      <xdr:rowOff>104775</xdr:rowOff>
    </xdr:to>
    <xdr:sp macro="" textlink="B4">
      <xdr:nvSpPr>
        <xdr:cNvPr id="7" name="Text Box 21"/>
        <xdr:cNvSpPr txBox="1">
          <a:spLocks noChangeArrowheads="1" noTextEdit="1"/>
        </xdr:cNvSpPr>
      </xdr:nvSpPr>
      <xdr:spPr bwMode="auto">
        <a:xfrm>
          <a:off x="2286000" y="533400"/>
          <a:ext cx="762000" cy="21907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47B5F4D1-A054-4EE8-9FAC-00B8E0E877FD}" type="TxLink">
            <a:rPr lang="de-DE" sz="1000">
              <a:latin typeface="Arial" panose="020B0604020202020204" pitchFamily="34" charset="0"/>
              <a:cs typeface="Arial" panose="020B0604020202020204" pitchFamily="34" charset="0"/>
            </a:rPr>
            <a:pPr/>
            <a:t>9890.42</a:t>
          </a:fld>
          <a:endParaRPr lang="de-DE" sz="1000">
            <a:latin typeface="Arial" panose="020B0604020202020204" pitchFamily="34" charset="0"/>
            <a:cs typeface="Arial" panose="020B0604020202020204" pitchFamily="34" charset="0"/>
          </a:endParaRPr>
        </a:p>
      </xdr:txBody>
    </xdr:sp>
    <xdr:clientData/>
  </xdr:twoCellAnchor>
  <xdr:twoCellAnchor>
    <xdr:from>
      <xdr:col>1</xdr:col>
      <xdr:colOff>1162050</xdr:colOff>
      <xdr:row>4</xdr:row>
      <xdr:rowOff>114300</xdr:rowOff>
    </xdr:from>
    <xdr:to>
      <xdr:col>2</xdr:col>
      <xdr:colOff>1552575</xdr:colOff>
      <xdr:row>6</xdr:row>
      <xdr:rowOff>28575</xdr:rowOff>
    </xdr:to>
    <xdr:sp macro="" textlink="B5">
      <xdr:nvSpPr>
        <xdr:cNvPr id="8" name="Text Box 22"/>
        <xdr:cNvSpPr txBox="1">
          <a:spLocks noChangeArrowheads="1" noTextEdit="1"/>
        </xdr:cNvSpPr>
      </xdr:nvSpPr>
      <xdr:spPr bwMode="auto">
        <a:xfrm>
          <a:off x="2286000" y="762000"/>
          <a:ext cx="762000" cy="238125"/>
        </a:xfrm>
        <a:prstGeom prst="rect">
          <a:avLst/>
        </a:prstGeom>
        <a:solidFill>
          <a:srgbClr val="DDDDDD"/>
        </a:solidFill>
        <a:ln w="9525">
          <a:solidFill>
            <a:srgbClr xmlns:mc="http://schemas.openxmlformats.org/markup-compatibility/2006" xmlns:a14="http://schemas.microsoft.com/office/drawing/2010/main" val="808080" mc:Ignorable="a14" a14:legacySpreadsheetColorIndex="23"/>
          </a:solidFill>
          <a:miter lim="800000"/>
          <a:headEnd/>
          <a:tailEnd/>
        </a:ln>
      </xdr:spPr>
      <xdr:txBody>
        <a:bodyPr vertOverflow="clip" wrap="square" lIns="18288" tIns="0" rIns="0" bIns="0" anchor="ctr" upright="1"/>
        <a:lstStyle/>
        <a:p>
          <a:fld id="{7B051B04-1053-4B66-BA75-CBF1996F98B4}" type="TxLink">
            <a:rPr lang="de-DE" sz="1000">
              <a:latin typeface="Arial" panose="020B0604020202020204" pitchFamily="34" charset="0"/>
              <a:cs typeface="Arial" panose="020B0604020202020204" pitchFamily="34" charset="0"/>
            </a:rPr>
            <a:pPr/>
            <a:t>01.10.2020</a:t>
          </a:fld>
          <a:endParaRPr lang="de-DE" sz="1000">
            <a:latin typeface="Arial" panose="020B0604020202020204" pitchFamily="34" charset="0"/>
            <a:cs typeface="Arial" panose="020B0604020202020204" pitchFamily="34" charset="0"/>
          </a:endParaRPr>
        </a:p>
      </xdr:txBody>
    </xdr:sp>
    <xdr:clientData/>
  </xdr:twoCellAnchor>
  <xdr:twoCellAnchor editAs="absolute">
    <xdr:from>
      <xdr:col>9</xdr:col>
      <xdr:colOff>47625</xdr:colOff>
      <xdr:row>0</xdr:row>
      <xdr:rowOff>47625</xdr:rowOff>
    </xdr:from>
    <xdr:to>
      <xdr:col>10</xdr:col>
      <xdr:colOff>571500</xdr:colOff>
      <xdr:row>6</xdr:row>
      <xdr:rowOff>123825</xdr:rowOff>
    </xdr:to>
    <xdr:pic>
      <xdr:nvPicPr>
        <xdr:cNvPr id="11" name="Grafik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67800" y="47625"/>
          <a:ext cx="809625" cy="1028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K45"/>
  <sheetViews>
    <sheetView topLeftCell="A13" workbookViewId="0">
      <selection activeCell="K15" sqref="K15"/>
    </sheetView>
  </sheetViews>
  <sheetFormatPr baseColWidth="10" defaultRowHeight="15" outlineLevelCol="1"/>
  <cols>
    <col min="1" max="1" width="4.5703125" style="83" customWidth="1"/>
    <col min="2" max="2" width="77.42578125" style="61" customWidth="1"/>
    <col min="3" max="4" width="4.28515625" style="1" customWidth="1"/>
    <col min="5" max="5" width="4.28515625" style="2" customWidth="1"/>
    <col min="6" max="6" width="87.42578125" style="48" hidden="1" customWidth="1" outlineLevel="1"/>
    <col min="7" max="7" width="86.5703125" style="48" hidden="1" customWidth="1" outlineLevel="1"/>
    <col min="8" max="8" width="87.7109375" style="48" hidden="1" customWidth="1" outlineLevel="1"/>
    <col min="9" max="9" width="11.42578125" style="54" collapsed="1"/>
    <col min="10" max="11" width="11.42578125" style="54"/>
  </cols>
  <sheetData>
    <row r="1" spans="1:11" ht="20.25">
      <c r="A1" s="81" t="s">
        <v>9</v>
      </c>
      <c r="B1" s="59"/>
      <c r="C1" s="5"/>
      <c r="D1" s="5"/>
      <c r="E1" s="3"/>
      <c r="F1" s="51"/>
    </row>
    <row r="2" spans="1:11" ht="20.25">
      <c r="A2" s="87"/>
      <c r="B2" s="60"/>
      <c r="C2" s="76"/>
      <c r="D2" s="76"/>
    </row>
    <row r="3" spans="1:11">
      <c r="A3" s="82"/>
      <c r="B3" s="60"/>
      <c r="C3" s="76"/>
      <c r="D3" s="76"/>
    </row>
    <row r="4" spans="1:11">
      <c r="C4" s="76"/>
    </row>
    <row r="5" spans="1:11">
      <c r="F5" s="55" t="s">
        <v>14</v>
      </c>
      <c r="G5" s="56" t="s">
        <v>35</v>
      </c>
      <c r="H5" s="57" t="s">
        <v>36</v>
      </c>
    </row>
    <row r="6" spans="1:11">
      <c r="A6" s="4"/>
      <c r="B6" s="62"/>
      <c r="E6" s="3"/>
      <c r="F6" s="51"/>
    </row>
    <row r="7" spans="1:11">
      <c r="A7" s="84" t="s">
        <v>12</v>
      </c>
      <c r="B7" s="60"/>
      <c r="C7" s="90" t="s">
        <v>0</v>
      </c>
      <c r="D7" s="91"/>
      <c r="E7" s="3"/>
      <c r="F7" s="51"/>
      <c r="I7" s="53"/>
    </row>
    <row r="8" spans="1:11">
      <c r="A8" s="84"/>
      <c r="B8" s="60"/>
      <c r="C8" s="79" t="s">
        <v>73</v>
      </c>
      <c r="D8" s="78" t="s">
        <v>74</v>
      </c>
      <c r="E8" s="3"/>
      <c r="F8" s="51"/>
      <c r="I8" s="53"/>
    </row>
    <row r="9" spans="1:11" s="68" customFormat="1" ht="12.75">
      <c r="A9" s="89">
        <v>1.1000000000000001</v>
      </c>
      <c r="B9" s="65" t="s">
        <v>76</v>
      </c>
      <c r="C9" s="77"/>
      <c r="D9" s="66" t="s">
        <v>16</v>
      </c>
      <c r="E9" s="67" t="str">
        <f>IF(AND(C9="",D9=""),"!","")</f>
        <v/>
      </c>
      <c r="F9" s="71" t="s">
        <v>57</v>
      </c>
      <c r="G9" s="72" t="s">
        <v>72</v>
      </c>
      <c r="H9" s="73" t="s">
        <v>89</v>
      </c>
    </row>
    <row r="10" spans="1:11" s="68" customFormat="1" ht="25.5">
      <c r="A10" s="89">
        <v>1.2</v>
      </c>
      <c r="B10" s="65" t="s">
        <v>60</v>
      </c>
      <c r="C10" s="69"/>
      <c r="D10" s="69" t="s">
        <v>16</v>
      </c>
      <c r="E10" s="67" t="str">
        <f t="shared" ref="E10:E13" si="0">IF(AND(C10="",D10=""),"!","")</f>
        <v/>
      </c>
      <c r="F10" s="71" t="s">
        <v>71</v>
      </c>
      <c r="G10" s="72" t="s">
        <v>37</v>
      </c>
      <c r="H10" s="73" t="s">
        <v>90</v>
      </c>
    </row>
    <row r="11" spans="1:11" s="68" customFormat="1" ht="25.5">
      <c r="A11" s="89">
        <v>1.3</v>
      </c>
      <c r="B11" s="65" t="s">
        <v>61</v>
      </c>
      <c r="C11" s="69"/>
      <c r="D11" s="69" t="s">
        <v>16</v>
      </c>
      <c r="E11" s="67" t="str">
        <f t="shared" si="0"/>
        <v/>
      </c>
      <c r="F11" s="71" t="s">
        <v>38</v>
      </c>
      <c r="G11" s="72" t="s">
        <v>39</v>
      </c>
      <c r="H11" s="73" t="s">
        <v>40</v>
      </c>
    </row>
    <row r="12" spans="1:11" s="68" customFormat="1" ht="25.5">
      <c r="A12" s="89">
        <v>1.4</v>
      </c>
      <c r="B12" s="65" t="s">
        <v>91</v>
      </c>
      <c r="C12" s="69"/>
      <c r="D12" s="69" t="s">
        <v>16</v>
      </c>
      <c r="E12" s="67" t="str">
        <f t="shared" si="0"/>
        <v/>
      </c>
      <c r="F12" s="74" t="s">
        <v>41</v>
      </c>
      <c r="G12" s="75" t="s">
        <v>42</v>
      </c>
      <c r="H12" s="73" t="s">
        <v>92</v>
      </c>
    </row>
    <row r="13" spans="1:11" s="68" customFormat="1" ht="12.75">
      <c r="A13" s="89">
        <v>1.5</v>
      </c>
      <c r="B13" s="65" t="s">
        <v>59</v>
      </c>
      <c r="C13" s="69" t="s">
        <v>16</v>
      </c>
      <c r="D13" s="69"/>
      <c r="E13" s="67" t="str">
        <f t="shared" si="0"/>
        <v/>
      </c>
      <c r="F13" s="71" t="s">
        <v>43</v>
      </c>
      <c r="G13" s="72" t="s">
        <v>44</v>
      </c>
      <c r="H13" s="73" t="s">
        <v>93</v>
      </c>
    </row>
    <row r="14" spans="1:11" s="68" customFormat="1" ht="12.75">
      <c r="A14" s="89">
        <v>1.6</v>
      </c>
      <c r="B14" s="65"/>
      <c r="C14" s="70"/>
      <c r="D14" s="70"/>
      <c r="E14" s="67"/>
      <c r="F14" s="71">
        <f>B14</f>
        <v>0</v>
      </c>
      <c r="G14" s="72"/>
      <c r="H14" s="73"/>
    </row>
    <row r="15" spans="1:11" s="47" customFormat="1" ht="12.75">
      <c r="A15" s="46"/>
      <c r="B15" s="63"/>
      <c r="C15" s="49"/>
      <c r="D15" s="49"/>
      <c r="E15" s="50"/>
      <c r="F15" s="51"/>
      <c r="G15" s="48"/>
      <c r="H15" s="48"/>
      <c r="I15" s="48"/>
      <c r="J15" s="48"/>
      <c r="K15" s="48"/>
    </row>
    <row r="16" spans="1:11">
      <c r="A16" s="84" t="s">
        <v>1</v>
      </c>
      <c r="C16" s="52" t="s">
        <v>73</v>
      </c>
      <c r="D16" s="80" t="s">
        <v>74</v>
      </c>
      <c r="E16" s="3"/>
    </row>
    <row r="17" spans="1:11" s="68" customFormat="1" ht="12.75">
      <c r="A17" s="89">
        <v>2.1</v>
      </c>
      <c r="B17" s="65" t="s">
        <v>10</v>
      </c>
      <c r="C17" s="77"/>
      <c r="D17" s="66" t="s">
        <v>16</v>
      </c>
      <c r="E17" s="67" t="str">
        <f t="shared" ref="E17:E19" si="1">IF(AND(C17="",D17=""),"!","")</f>
        <v/>
      </c>
      <c r="F17" s="71" t="s">
        <v>32</v>
      </c>
      <c r="G17" s="72" t="s">
        <v>37</v>
      </c>
      <c r="H17" s="73" t="s">
        <v>94</v>
      </c>
    </row>
    <row r="18" spans="1:11" s="68" customFormat="1" ht="12.75">
      <c r="A18" s="89">
        <v>2.2000000000000002</v>
      </c>
      <c r="B18" s="65" t="s">
        <v>6</v>
      </c>
      <c r="C18" s="69"/>
      <c r="D18" s="69" t="s">
        <v>16</v>
      </c>
      <c r="E18" s="67" t="str">
        <f t="shared" si="1"/>
        <v/>
      </c>
      <c r="F18" s="71" t="s">
        <v>31</v>
      </c>
      <c r="G18" s="72" t="s">
        <v>44</v>
      </c>
      <c r="H18" s="73" t="s">
        <v>95</v>
      </c>
    </row>
    <row r="19" spans="1:11" s="68" customFormat="1" ht="12.75">
      <c r="A19" s="89">
        <v>2.2999999999999998</v>
      </c>
      <c r="B19" s="65" t="s">
        <v>62</v>
      </c>
      <c r="C19" s="69"/>
      <c r="D19" s="69" t="s">
        <v>16</v>
      </c>
      <c r="E19" s="67" t="str">
        <f t="shared" si="1"/>
        <v/>
      </c>
      <c r="F19" s="71" t="s">
        <v>33</v>
      </c>
      <c r="G19" s="72" t="s">
        <v>45</v>
      </c>
      <c r="H19" s="73" t="s">
        <v>96</v>
      </c>
    </row>
    <row r="20" spans="1:11" s="68" customFormat="1" ht="12.75">
      <c r="A20" s="89">
        <v>2.4</v>
      </c>
      <c r="B20" s="65"/>
      <c r="C20" s="70"/>
      <c r="D20" s="70"/>
      <c r="E20" s="67"/>
      <c r="F20" s="71">
        <f>B20</f>
        <v>0</v>
      </c>
      <c r="G20" s="72"/>
      <c r="H20" s="73"/>
    </row>
    <row r="21" spans="1:11" s="47" customFormat="1" ht="12.75">
      <c r="A21" s="46"/>
      <c r="B21" s="63"/>
      <c r="C21" s="49"/>
      <c r="D21" s="49"/>
      <c r="E21" s="50"/>
      <c r="F21" s="51"/>
      <c r="G21" s="48"/>
      <c r="H21" s="48"/>
      <c r="I21" s="48"/>
      <c r="J21" s="48"/>
      <c r="K21" s="48"/>
    </row>
    <row r="22" spans="1:11">
      <c r="A22" s="84" t="s">
        <v>2</v>
      </c>
      <c r="C22" s="52" t="s">
        <v>73</v>
      </c>
      <c r="D22" s="80" t="s">
        <v>74</v>
      </c>
      <c r="E22" s="3"/>
    </row>
    <row r="23" spans="1:11" s="68" customFormat="1" ht="12.75">
      <c r="A23" s="89">
        <v>3.1</v>
      </c>
      <c r="B23" s="65" t="s">
        <v>7</v>
      </c>
      <c r="C23" s="77"/>
      <c r="D23" s="66" t="s">
        <v>16</v>
      </c>
      <c r="E23" s="67" t="str">
        <f t="shared" ref="E23" si="2">IF(AND(C23="",D23=""),"!","")</f>
        <v/>
      </c>
      <c r="F23" s="71" t="s">
        <v>46</v>
      </c>
      <c r="G23" s="75" t="s">
        <v>77</v>
      </c>
      <c r="H23" s="73" t="s">
        <v>47</v>
      </c>
    </row>
    <row r="24" spans="1:11" s="68" customFormat="1" ht="12.75">
      <c r="A24" s="89">
        <v>3.2</v>
      </c>
      <c r="B24" s="65"/>
      <c r="C24" s="70"/>
      <c r="D24" s="70"/>
      <c r="E24" s="67"/>
      <c r="F24" s="71">
        <f>B24</f>
        <v>0</v>
      </c>
      <c r="G24" s="72"/>
      <c r="H24" s="73"/>
    </row>
    <row r="25" spans="1:11" s="47" customFormat="1" ht="12.75">
      <c r="A25" s="46"/>
      <c r="B25" s="63"/>
      <c r="C25" s="49"/>
      <c r="D25" s="49"/>
      <c r="E25" s="50"/>
      <c r="F25" s="51"/>
      <c r="G25" s="48"/>
      <c r="H25" s="48"/>
      <c r="I25" s="48"/>
      <c r="J25" s="48"/>
      <c r="K25" s="48"/>
    </row>
    <row r="26" spans="1:11">
      <c r="A26" s="84" t="s">
        <v>3</v>
      </c>
      <c r="C26" s="52" t="s">
        <v>73</v>
      </c>
      <c r="D26" s="80" t="s">
        <v>74</v>
      </c>
      <c r="E26" s="3"/>
    </row>
    <row r="27" spans="1:11" s="68" customFormat="1" ht="12.75">
      <c r="A27" s="89">
        <v>4.0999999999999996</v>
      </c>
      <c r="B27" s="65" t="s">
        <v>63</v>
      </c>
      <c r="C27" s="77"/>
      <c r="D27" s="66" t="s">
        <v>16</v>
      </c>
      <c r="E27" s="67" t="str">
        <f t="shared" ref="E27:E32" si="3">IF(AND(C27="",D27=""),"!","")</f>
        <v/>
      </c>
      <c r="F27" s="74" t="s">
        <v>48</v>
      </c>
      <c r="G27" s="72" t="s">
        <v>78</v>
      </c>
      <c r="H27" s="73" t="s">
        <v>97</v>
      </c>
    </row>
    <row r="28" spans="1:11" s="68" customFormat="1" ht="25.5">
      <c r="A28" s="89">
        <v>4.2</v>
      </c>
      <c r="B28" s="65" t="s">
        <v>64</v>
      </c>
      <c r="C28" s="69"/>
      <c r="D28" s="69" t="s">
        <v>16</v>
      </c>
      <c r="E28" s="67" t="str">
        <f t="shared" si="3"/>
        <v/>
      </c>
      <c r="F28" s="71" t="s">
        <v>49</v>
      </c>
      <c r="G28" s="75" t="s">
        <v>50</v>
      </c>
      <c r="H28" s="73" t="s">
        <v>98</v>
      </c>
    </row>
    <row r="29" spans="1:11" s="68" customFormat="1" ht="25.5">
      <c r="A29" s="89">
        <v>4.3</v>
      </c>
      <c r="B29" s="65" t="s">
        <v>65</v>
      </c>
      <c r="C29" s="69"/>
      <c r="D29" s="69" t="s">
        <v>16</v>
      </c>
      <c r="E29" s="67" t="str">
        <f t="shared" si="3"/>
        <v/>
      </c>
      <c r="F29" s="71" t="s">
        <v>29</v>
      </c>
      <c r="G29" s="75" t="s">
        <v>79</v>
      </c>
      <c r="H29" s="73" t="s">
        <v>99</v>
      </c>
    </row>
    <row r="30" spans="1:11" s="68" customFormat="1" ht="25.5">
      <c r="A30" s="89">
        <v>4.4000000000000004</v>
      </c>
      <c r="B30" s="65" t="s">
        <v>66</v>
      </c>
      <c r="C30" s="69"/>
      <c r="D30" s="69" t="s">
        <v>16</v>
      </c>
      <c r="E30" s="67" t="str">
        <f t="shared" si="3"/>
        <v/>
      </c>
      <c r="F30" s="74" t="s">
        <v>58</v>
      </c>
      <c r="G30" s="75" t="s">
        <v>50</v>
      </c>
      <c r="H30" s="73" t="s">
        <v>100</v>
      </c>
    </row>
    <row r="31" spans="1:11" s="68" customFormat="1" ht="12.75">
      <c r="A31" s="89">
        <v>4.5</v>
      </c>
      <c r="B31" s="65" t="s">
        <v>67</v>
      </c>
      <c r="C31" s="69" t="s">
        <v>16</v>
      </c>
      <c r="D31" s="69"/>
      <c r="E31" s="67" t="str">
        <f t="shared" si="3"/>
        <v/>
      </c>
      <c r="F31" s="71" t="s">
        <v>51</v>
      </c>
      <c r="G31" s="75" t="s">
        <v>79</v>
      </c>
      <c r="H31" s="73" t="s">
        <v>52</v>
      </c>
    </row>
    <row r="32" spans="1:11" s="68" customFormat="1" ht="12.75">
      <c r="A32" s="89">
        <v>4.5999999999999996</v>
      </c>
      <c r="B32" s="65" t="s">
        <v>68</v>
      </c>
      <c r="C32" s="69"/>
      <c r="D32" s="69" t="s">
        <v>16</v>
      </c>
      <c r="E32" s="67" t="str">
        <f t="shared" si="3"/>
        <v/>
      </c>
      <c r="F32" s="71" t="s">
        <v>75</v>
      </c>
      <c r="G32" s="72" t="s">
        <v>53</v>
      </c>
      <c r="H32" s="73" t="s">
        <v>101</v>
      </c>
    </row>
    <row r="33" spans="1:11" s="68" customFormat="1" ht="12.75" customHeight="1">
      <c r="A33" s="89">
        <v>4.7</v>
      </c>
      <c r="B33" s="65"/>
      <c r="C33" s="70"/>
      <c r="D33" s="70"/>
      <c r="E33" s="67"/>
      <c r="F33" s="71">
        <f>B33</f>
        <v>0</v>
      </c>
      <c r="G33" s="72"/>
      <c r="H33" s="73"/>
    </row>
    <row r="34" spans="1:11" s="47" customFormat="1" ht="12.75">
      <c r="A34" s="46"/>
      <c r="B34" s="63"/>
      <c r="C34" s="51"/>
      <c r="D34" s="51"/>
      <c r="E34" s="50"/>
      <c r="F34" s="50"/>
      <c r="G34" s="48"/>
      <c r="H34" s="48"/>
      <c r="I34" s="51"/>
      <c r="J34" s="48"/>
      <c r="K34" s="48"/>
    </row>
    <row r="35" spans="1:11">
      <c r="A35" s="84" t="s">
        <v>4</v>
      </c>
      <c r="C35" s="52" t="s">
        <v>73</v>
      </c>
      <c r="D35" s="80" t="s">
        <v>74</v>
      </c>
      <c r="E35" s="3"/>
    </row>
    <row r="36" spans="1:11" s="68" customFormat="1" ht="12.75" customHeight="1">
      <c r="A36" s="89">
        <v>5.0999999999999996</v>
      </c>
      <c r="B36" s="65" t="s">
        <v>8</v>
      </c>
      <c r="C36" s="77"/>
      <c r="D36" s="66" t="s">
        <v>16</v>
      </c>
      <c r="E36" s="67" t="str">
        <f t="shared" ref="E36:E38" si="4">IF(AND(C36="",D36=""),"!","")</f>
        <v/>
      </c>
      <c r="F36" s="71" t="s">
        <v>27</v>
      </c>
      <c r="G36" s="75" t="s">
        <v>50</v>
      </c>
      <c r="H36" s="73" t="s">
        <v>102</v>
      </c>
    </row>
    <row r="37" spans="1:11" s="68" customFormat="1" ht="12.75">
      <c r="A37" s="89">
        <v>5.2</v>
      </c>
      <c r="B37" s="65" t="s">
        <v>11</v>
      </c>
      <c r="C37" s="69"/>
      <c r="D37" s="69" t="s">
        <v>16</v>
      </c>
      <c r="E37" s="67" t="str">
        <f t="shared" si="4"/>
        <v/>
      </c>
      <c r="F37" s="71" t="s">
        <v>30</v>
      </c>
      <c r="G37" s="75" t="s">
        <v>50</v>
      </c>
      <c r="H37" s="73" t="s">
        <v>103</v>
      </c>
    </row>
    <row r="38" spans="1:11" s="68" customFormat="1" ht="12.75" customHeight="1">
      <c r="A38" s="89">
        <v>5.3</v>
      </c>
      <c r="B38" s="65" t="s">
        <v>88</v>
      </c>
      <c r="C38" s="69"/>
      <c r="D38" s="69" t="s">
        <v>16</v>
      </c>
      <c r="E38" s="67" t="str">
        <f t="shared" si="4"/>
        <v/>
      </c>
      <c r="F38" s="71" t="s">
        <v>27</v>
      </c>
      <c r="G38" s="75" t="s">
        <v>54</v>
      </c>
      <c r="H38" s="73" t="s">
        <v>104</v>
      </c>
    </row>
    <row r="39" spans="1:11" s="68" customFormat="1" ht="12.75">
      <c r="A39" s="89">
        <v>5.4</v>
      </c>
      <c r="B39" s="65"/>
      <c r="C39" s="70"/>
      <c r="D39" s="70"/>
      <c r="E39" s="67"/>
      <c r="F39" s="71">
        <f>B39</f>
        <v>0</v>
      </c>
      <c r="G39" s="72"/>
      <c r="H39" s="73"/>
    </row>
    <row r="40" spans="1:11" s="47" customFormat="1" ht="12.75">
      <c r="A40" s="46"/>
      <c r="B40" s="63"/>
      <c r="C40" s="49"/>
      <c r="D40" s="49"/>
      <c r="E40" s="50"/>
      <c r="F40" s="51"/>
      <c r="G40" s="48"/>
      <c r="H40" s="48"/>
      <c r="I40" s="48"/>
      <c r="J40" s="48"/>
      <c r="K40" s="48"/>
    </row>
    <row r="41" spans="1:11" s="47" customFormat="1" ht="12.75">
      <c r="A41" s="85" t="s">
        <v>5</v>
      </c>
      <c r="B41" s="58"/>
      <c r="C41" s="52" t="s">
        <v>73</v>
      </c>
      <c r="D41" s="80" t="s">
        <v>74</v>
      </c>
      <c r="E41" s="50"/>
      <c r="F41" s="48"/>
      <c r="G41" s="48"/>
      <c r="H41" s="48"/>
      <c r="I41" s="48"/>
      <c r="J41" s="48"/>
      <c r="K41" s="48"/>
    </row>
    <row r="42" spans="1:11" s="68" customFormat="1" ht="12.75">
      <c r="A42" s="89">
        <v>6.1</v>
      </c>
      <c r="B42" s="65" t="s">
        <v>69</v>
      </c>
      <c r="C42" s="77"/>
      <c r="D42" s="66" t="s">
        <v>16</v>
      </c>
      <c r="E42" s="67" t="str">
        <f t="shared" ref="E42:E43" si="5">IF(AND(C42="",D42=""),"!","")</f>
        <v/>
      </c>
      <c r="F42" s="71" t="s">
        <v>28</v>
      </c>
      <c r="G42" s="72" t="s">
        <v>80</v>
      </c>
      <c r="H42" s="73" t="s">
        <v>105</v>
      </c>
    </row>
    <row r="43" spans="1:11" s="68" customFormat="1" ht="12.75">
      <c r="A43" s="89">
        <v>6.2</v>
      </c>
      <c r="B43" s="65" t="s">
        <v>70</v>
      </c>
      <c r="C43" s="69"/>
      <c r="D43" s="69" t="s">
        <v>16</v>
      </c>
      <c r="E43" s="67" t="str">
        <f t="shared" si="5"/>
        <v/>
      </c>
      <c r="F43" s="71" t="s">
        <v>55</v>
      </c>
      <c r="G43" s="72" t="s">
        <v>56</v>
      </c>
      <c r="H43" s="73" t="s">
        <v>106</v>
      </c>
    </row>
    <row r="44" spans="1:11" s="68" customFormat="1" ht="12.75">
      <c r="A44" s="89">
        <v>6.3</v>
      </c>
      <c r="B44" s="65"/>
      <c r="C44" s="70"/>
      <c r="D44" s="70"/>
      <c r="E44" s="67"/>
      <c r="F44" s="71">
        <f>B44</f>
        <v>0</v>
      </c>
      <c r="G44" s="72"/>
      <c r="H44" s="73"/>
    </row>
    <row r="45" spans="1:11">
      <c r="B45" s="64" t="s">
        <v>34</v>
      </c>
      <c r="C45" s="32">
        <f>COUNTIF(C6:C44,"X")</f>
        <v>2</v>
      </c>
      <c r="D45" s="32"/>
    </row>
  </sheetData>
  <mergeCells count="1">
    <mergeCell ref="C7:D7"/>
  </mergeCells>
  <phoneticPr fontId="0" type="noConversion"/>
  <dataValidations count="1">
    <dataValidation type="list" allowBlank="1" showInputMessage="1" showErrorMessage="1" sqref="C42:D44 C23:D24 C27:D33 C36:D39 C9:D14 C17:D20">
      <formula1>"x"</formula1>
    </dataValidation>
  </dataValidations>
  <pageMargins left="0.74803149606299213" right="0.6692913385826772" top="0.94488188976377963" bottom="0.43307086614173229" header="0.39370078740157483" footer="0.27559055118110237"/>
  <pageSetup paperSize="9" scale="98" fitToHeight="2" orientation="portrait" r:id="rId1"/>
  <headerFooter>
    <oddHeader xml:space="preserve">&amp;R&amp;G
</oddHeader>
    <oddFooter>&amp;R&amp;"Arial,Fett"&amp;9 311.025.QCL / V 8.0 / &amp;"Arial,Standard"&amp;8Gültig ab: 01.09.2018 / Seite &amp;P (&amp;N)</oddFooter>
    <firstHeader>&amp;R&amp;G</firstHeader>
  </headerFooter>
  <drawing r:id="rId2"/>
  <legacyDrawing r:id="rId3"/>
  <legacyDrawingHF r:id="rId4"/>
  <controls>
    <mc:AlternateContent xmlns:mc="http://schemas.openxmlformats.org/markup-compatibility/2006">
      <mc:Choice Requires="x14">
        <control shapeId="16399" r:id="rId5" name="CommandButton1">
          <controlPr defaultSize="0" print="0" autoFill="0" autoLine="0" r:id="rId6">
            <anchor moveWithCells="1">
              <from>
                <xdr:col>1</xdr:col>
                <xdr:colOff>4400550</xdr:colOff>
                <xdr:row>0</xdr:row>
                <xdr:rowOff>28575</xdr:rowOff>
              </from>
              <to>
                <xdr:col>3</xdr:col>
                <xdr:colOff>85725</xdr:colOff>
                <xdr:row>2</xdr:row>
                <xdr:rowOff>66675</xdr:rowOff>
              </to>
            </anchor>
          </controlPr>
        </control>
      </mc:Choice>
      <mc:Fallback>
        <control shapeId="16399"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pageSetUpPr fitToPage="1"/>
  </sheetPr>
  <dimension ref="A1:P48"/>
  <sheetViews>
    <sheetView tabSelected="1" workbookViewId="0">
      <pane ySplit="8" topLeftCell="A9" activePane="bottomLeft" state="frozenSplit"/>
      <selection activeCell="B39" sqref="B39"/>
      <selection pane="bottomLeft" activeCell="L57" sqref="L57:L58"/>
    </sheetView>
  </sheetViews>
  <sheetFormatPr baseColWidth="10" defaultRowHeight="11.25"/>
  <cols>
    <col min="1" max="1" width="8.140625" style="8" customWidth="1"/>
    <col min="2" max="3" width="50.7109375" style="6" customWidth="1"/>
    <col min="4" max="10" width="4.28515625" style="7" customWidth="1"/>
    <col min="11" max="12" width="50.7109375" style="7" customWidth="1"/>
    <col min="13" max="13" width="4.28515625" style="7" hidden="1" customWidth="1"/>
    <col min="14" max="14" width="4" style="7" hidden="1" customWidth="1"/>
    <col min="15" max="15" width="7.7109375" style="34" hidden="1" customWidth="1"/>
    <col min="16" max="16" width="5" style="26" hidden="1" customWidth="1"/>
    <col min="17" max="16384" width="11.42578125" style="6"/>
  </cols>
  <sheetData>
    <row r="1" spans="1:16" ht="18">
      <c r="A1" s="15" t="s">
        <v>17</v>
      </c>
      <c r="J1" s="86" t="s">
        <v>26</v>
      </c>
    </row>
    <row r="3" spans="1:16">
      <c r="A3" s="13"/>
      <c r="B3" s="14" t="s">
        <v>108</v>
      </c>
      <c r="C3" s="38"/>
      <c r="D3" s="6"/>
      <c r="O3" s="26"/>
    </row>
    <row r="4" spans="1:16">
      <c r="A4" s="13"/>
      <c r="B4" s="14">
        <v>9890.42</v>
      </c>
      <c r="C4" s="38"/>
      <c r="D4" s="6"/>
      <c r="O4" s="26"/>
    </row>
    <row r="5" spans="1:16">
      <c r="A5" s="13"/>
      <c r="B5" s="12" t="s">
        <v>107</v>
      </c>
      <c r="C5" s="38"/>
      <c r="D5" s="6"/>
      <c r="O5" s="26"/>
    </row>
    <row r="6" spans="1:16" ht="12">
      <c r="A6" s="17"/>
      <c r="B6" s="18"/>
      <c r="C6" s="35"/>
      <c r="D6" s="92" t="s">
        <v>18</v>
      </c>
      <c r="E6" s="93"/>
      <c r="F6" s="94"/>
      <c r="G6" s="92" t="s">
        <v>22</v>
      </c>
      <c r="H6" s="93"/>
      <c r="I6" s="94"/>
      <c r="J6" s="16"/>
      <c r="K6" s="16"/>
      <c r="L6" s="16"/>
      <c r="M6" s="16"/>
    </row>
    <row r="7" spans="1:16" ht="12">
      <c r="A7" s="19"/>
      <c r="B7" s="20"/>
      <c r="C7" s="20"/>
      <c r="D7" s="95"/>
      <c r="E7" s="96"/>
      <c r="F7" s="97"/>
      <c r="G7" s="95"/>
      <c r="H7" s="96"/>
      <c r="I7" s="97"/>
      <c r="J7" s="21"/>
      <c r="K7" s="21"/>
      <c r="L7" s="21"/>
      <c r="M7" s="16"/>
    </row>
    <row r="8" spans="1:16" s="9" customFormat="1" ht="77.25">
      <c r="A8" s="11" t="s">
        <v>15</v>
      </c>
      <c r="B8" s="11" t="s">
        <v>81</v>
      </c>
      <c r="C8" s="11" t="s">
        <v>13</v>
      </c>
      <c r="D8" s="23" t="s">
        <v>19</v>
      </c>
      <c r="E8" s="24" t="s">
        <v>20</v>
      </c>
      <c r="F8" s="25" t="s">
        <v>21</v>
      </c>
      <c r="G8" s="23" t="s">
        <v>23</v>
      </c>
      <c r="H8" s="24" t="s">
        <v>24</v>
      </c>
      <c r="I8" s="25" t="s">
        <v>25</v>
      </c>
      <c r="J8" s="22" t="s">
        <v>26</v>
      </c>
      <c r="K8" s="11" t="s">
        <v>82</v>
      </c>
      <c r="L8" s="11" t="s">
        <v>83</v>
      </c>
      <c r="M8" s="33"/>
      <c r="N8" s="10"/>
      <c r="O8" s="36"/>
      <c r="P8" s="27"/>
    </row>
    <row r="9" spans="1:16" s="31" customFormat="1" ht="12" hidden="1">
      <c r="A9" s="29">
        <f>0+(O9=TRUE)</f>
        <v>0</v>
      </c>
      <c r="B9" s="39" t="str">
        <f t="shared" ref="B9:B34" si="0">IF($M9=0,"",VLOOKUP($P9,R_Analyse,6,FALSE))</f>
        <v/>
      </c>
      <c r="C9" s="39" t="str">
        <f t="shared" ref="C9:C34" si="1">IF($M9=0,"",VLOOKUP($P9,R_Analyse,7,FALSE))</f>
        <v/>
      </c>
      <c r="D9" s="40"/>
      <c r="E9" s="41"/>
      <c r="F9" s="42"/>
      <c r="G9" s="40"/>
      <c r="H9" s="41"/>
      <c r="I9" s="42"/>
      <c r="J9" s="43" t="str">
        <f>IF(OR(AND(D9="x",G9="x"),AND(D9="x",H9="x"),AND(E9="x",G9="x")),"H",IF(OR(AND(F9="x",G9="x"),AND(E9="x",H9="x"),AND(D9="x",I9="x")),"M",IF(OR(AND(F9="x",H9="x"),AND(F9="x",I9="x"),AND(E9="x",I9="x")),"G","")))</f>
        <v/>
      </c>
      <c r="K9" s="39" t="str">
        <f t="shared" ref="K9:K34" si="2">IF($M9=0,"",VLOOKUP($P9,R_Analyse,8,FALSE))</f>
        <v/>
      </c>
      <c r="L9" s="44"/>
      <c r="M9" s="28">
        <f t="shared" ref="M9:M18" si="3">IFERROR(VLOOKUP($P9,R_Analyse,3,0),0)</f>
        <v>0</v>
      </c>
      <c r="N9" s="28" t="str">
        <f t="shared" ref="N9:N34" si="4">IF(M9=0,"","x")</f>
        <v/>
      </c>
      <c r="O9" s="37" t="b">
        <f>M9&gt;0</f>
        <v>0</v>
      </c>
      <c r="P9" s="30">
        <v>1.1000000000000001</v>
      </c>
    </row>
    <row r="10" spans="1:16" s="31" customFormat="1" ht="12" hidden="1">
      <c r="A10" s="29">
        <f t="shared" ref="A10:A34" si="5">A9+(O10=TRUE)</f>
        <v>0</v>
      </c>
      <c r="B10" s="39" t="str">
        <f t="shared" si="0"/>
        <v/>
      </c>
      <c r="C10" s="39" t="str">
        <f t="shared" si="1"/>
        <v/>
      </c>
      <c r="D10" s="40"/>
      <c r="E10" s="41"/>
      <c r="F10" s="42"/>
      <c r="G10" s="40"/>
      <c r="H10" s="41"/>
      <c r="I10" s="42"/>
      <c r="J10" s="43" t="str">
        <f t="shared" ref="J10:J34" si="6">IF(OR(AND(D10="x",G10="x"),AND(D10="x",H10="x"),AND(E10="x",G10="x")),"H",IF(OR(AND(F10="x",G10="x"),AND(E10="x",H10="x"),AND(D10="x",I10="x")),"M",IF(OR(AND(F10="x",H10="x"),AND(F10="x",I10="x"),AND(E10="x",I10="x")),"G","")))</f>
        <v/>
      </c>
      <c r="K10" s="39" t="str">
        <f t="shared" si="2"/>
        <v/>
      </c>
      <c r="L10" s="45"/>
      <c r="M10" s="28">
        <f t="shared" si="3"/>
        <v>0</v>
      </c>
      <c r="N10" s="28" t="str">
        <f t="shared" si="4"/>
        <v/>
      </c>
      <c r="O10" s="37" t="b">
        <f t="shared" ref="O10:O34" si="7">M10&gt;0</f>
        <v>0</v>
      </c>
      <c r="P10" s="30">
        <v>1.2</v>
      </c>
    </row>
    <row r="11" spans="1:16" s="31" customFormat="1" ht="12" hidden="1">
      <c r="A11" s="29">
        <f t="shared" si="5"/>
        <v>0</v>
      </c>
      <c r="B11" s="39" t="str">
        <f t="shared" si="0"/>
        <v/>
      </c>
      <c r="C11" s="39" t="str">
        <f t="shared" si="1"/>
        <v/>
      </c>
      <c r="D11" s="40"/>
      <c r="E11" s="41"/>
      <c r="F11" s="42"/>
      <c r="G11" s="40"/>
      <c r="H11" s="41"/>
      <c r="I11" s="42"/>
      <c r="J11" s="43" t="str">
        <f t="shared" si="6"/>
        <v/>
      </c>
      <c r="K11" s="39" t="str">
        <f t="shared" si="2"/>
        <v/>
      </c>
      <c r="L11" s="45"/>
      <c r="M11" s="28">
        <f t="shared" si="3"/>
        <v>0</v>
      </c>
      <c r="N11" s="28" t="str">
        <f t="shared" si="4"/>
        <v/>
      </c>
      <c r="O11" s="37" t="b">
        <f t="shared" si="7"/>
        <v>0</v>
      </c>
      <c r="P11" s="30">
        <v>1.3</v>
      </c>
    </row>
    <row r="12" spans="1:16" s="31" customFormat="1" ht="12" hidden="1">
      <c r="A12" s="29">
        <f t="shared" si="5"/>
        <v>0</v>
      </c>
      <c r="B12" s="39" t="str">
        <f t="shared" si="0"/>
        <v/>
      </c>
      <c r="C12" s="39" t="str">
        <f t="shared" si="1"/>
        <v/>
      </c>
      <c r="D12" s="40"/>
      <c r="E12" s="41"/>
      <c r="F12" s="42"/>
      <c r="G12" s="40"/>
      <c r="H12" s="41"/>
      <c r="I12" s="42"/>
      <c r="J12" s="43" t="str">
        <f t="shared" si="6"/>
        <v/>
      </c>
      <c r="K12" s="39" t="str">
        <f t="shared" si="2"/>
        <v/>
      </c>
      <c r="L12" s="44"/>
      <c r="M12" s="28">
        <f t="shared" si="3"/>
        <v>0</v>
      </c>
      <c r="N12" s="28" t="str">
        <f t="shared" si="4"/>
        <v/>
      </c>
      <c r="O12" s="37" t="b">
        <f t="shared" si="7"/>
        <v>0</v>
      </c>
      <c r="P12" s="30">
        <v>1.4</v>
      </c>
    </row>
    <row r="13" spans="1:16" s="31" customFormat="1" ht="84">
      <c r="A13" s="29">
        <f t="shared" si="5"/>
        <v>1</v>
      </c>
      <c r="B13" s="39" t="str">
        <f t="shared" si="0"/>
        <v>Nichtbeachtung von speziellen Vorgaben (z.B. aus Projekthandbüchern) kann zu Mehraufwand und Ineffizienz führen, in dem man eine Arbeit doppelt machen muss.</v>
      </c>
      <c r="C13" s="39" t="str">
        <f t="shared" si="1"/>
        <v>Ungedeckter Mehraufwand im Planerteam
Terminverzug mit Folgekosten</v>
      </c>
      <c r="D13" s="40"/>
      <c r="E13" s="41"/>
      <c r="F13" s="42" t="s">
        <v>16</v>
      </c>
      <c r="G13" s="40"/>
      <c r="H13" s="41" t="s">
        <v>16</v>
      </c>
      <c r="I13" s="42"/>
      <c r="J13" s="43" t="str">
        <f t="shared" si="6"/>
        <v>G</v>
      </c>
      <c r="K13" s="39" t="str">
        <f t="shared" si="2"/>
        <v>Grundlagenstudium.
Welche Anforderungen / Richtlinien / Typenpläne gelten?
Sind spezielle Normen / Gesetze zu beachten?
Nutzungsvereinbarung erstellen und genehmigen lassen.
Genaue Anayse der zu erbringenden Leistungen und klare Zuweisung zu den Projektpartnern.
Erstellen von Subplanerverträgen mit Externen.</v>
      </c>
      <c r="L13" s="45" t="s">
        <v>109</v>
      </c>
      <c r="M13" s="28" t="str">
        <f t="shared" si="3"/>
        <v>x</v>
      </c>
      <c r="N13" s="28" t="str">
        <f t="shared" si="4"/>
        <v>x</v>
      </c>
      <c r="O13" s="37" t="b">
        <f t="shared" si="7"/>
        <v>1</v>
      </c>
      <c r="P13" s="30">
        <v>1.5</v>
      </c>
    </row>
    <row r="14" spans="1:16" s="31" customFormat="1" ht="12" hidden="1">
      <c r="A14" s="29">
        <f t="shared" si="5"/>
        <v>1</v>
      </c>
      <c r="B14" s="39" t="str">
        <f t="shared" si="0"/>
        <v/>
      </c>
      <c r="C14" s="39" t="str">
        <f t="shared" si="1"/>
        <v/>
      </c>
      <c r="D14" s="40"/>
      <c r="E14" s="41"/>
      <c r="F14" s="42"/>
      <c r="G14" s="40"/>
      <c r="H14" s="41"/>
      <c r="I14" s="42"/>
      <c r="J14" s="43" t="str">
        <f t="shared" si="6"/>
        <v/>
      </c>
      <c r="K14" s="39" t="str">
        <f t="shared" si="2"/>
        <v/>
      </c>
      <c r="L14" s="45"/>
      <c r="M14" s="28">
        <f t="shared" si="3"/>
        <v>0</v>
      </c>
      <c r="N14" s="28" t="str">
        <f t="shared" si="4"/>
        <v/>
      </c>
      <c r="O14" s="37" t="b">
        <f t="shared" si="7"/>
        <v>0</v>
      </c>
      <c r="P14" s="30">
        <v>1.6</v>
      </c>
    </row>
    <row r="15" spans="1:16" s="31" customFormat="1" ht="12" hidden="1">
      <c r="A15" s="29">
        <f t="shared" si="5"/>
        <v>1</v>
      </c>
      <c r="B15" s="39" t="str">
        <f t="shared" si="0"/>
        <v/>
      </c>
      <c r="C15" s="39" t="str">
        <f t="shared" si="1"/>
        <v/>
      </c>
      <c r="D15" s="40"/>
      <c r="E15" s="41"/>
      <c r="F15" s="42"/>
      <c r="G15" s="40"/>
      <c r="H15" s="41"/>
      <c r="I15" s="42"/>
      <c r="J15" s="43" t="str">
        <f t="shared" si="6"/>
        <v/>
      </c>
      <c r="K15" s="39" t="str">
        <f t="shared" si="2"/>
        <v/>
      </c>
      <c r="L15" s="45"/>
      <c r="M15" s="28">
        <f t="shared" si="3"/>
        <v>0</v>
      </c>
      <c r="N15" s="28" t="str">
        <f t="shared" si="4"/>
        <v/>
      </c>
      <c r="O15" s="37" t="b">
        <f t="shared" si="7"/>
        <v>0</v>
      </c>
      <c r="P15" s="30">
        <v>2.1</v>
      </c>
    </row>
    <row r="16" spans="1:16" s="31" customFormat="1" ht="12" hidden="1">
      <c r="A16" s="29">
        <f t="shared" si="5"/>
        <v>1</v>
      </c>
      <c r="B16" s="39" t="str">
        <f t="shared" si="0"/>
        <v/>
      </c>
      <c r="C16" s="39" t="str">
        <f t="shared" si="1"/>
        <v/>
      </c>
      <c r="D16" s="40"/>
      <c r="E16" s="41"/>
      <c r="F16" s="42"/>
      <c r="G16" s="40"/>
      <c r="H16" s="41"/>
      <c r="I16" s="42"/>
      <c r="J16" s="43" t="str">
        <f t="shared" si="6"/>
        <v/>
      </c>
      <c r="K16" s="39" t="str">
        <f t="shared" si="2"/>
        <v/>
      </c>
      <c r="L16" s="45"/>
      <c r="M16" s="28">
        <f t="shared" si="3"/>
        <v>0</v>
      </c>
      <c r="N16" s="28" t="str">
        <f t="shared" si="4"/>
        <v/>
      </c>
      <c r="O16" s="37" t="b">
        <f t="shared" si="7"/>
        <v>0</v>
      </c>
      <c r="P16" s="30">
        <v>2.2000000000000002</v>
      </c>
    </row>
    <row r="17" spans="1:16" s="31" customFormat="1" ht="12" hidden="1">
      <c r="A17" s="29">
        <f t="shared" si="5"/>
        <v>1</v>
      </c>
      <c r="B17" s="39" t="str">
        <f t="shared" si="0"/>
        <v/>
      </c>
      <c r="C17" s="39" t="str">
        <f t="shared" si="1"/>
        <v/>
      </c>
      <c r="D17" s="40"/>
      <c r="E17" s="41"/>
      <c r="F17" s="42"/>
      <c r="G17" s="40"/>
      <c r="H17" s="41"/>
      <c r="I17" s="42"/>
      <c r="J17" s="43" t="str">
        <f t="shared" si="6"/>
        <v/>
      </c>
      <c r="K17" s="39" t="str">
        <f t="shared" si="2"/>
        <v/>
      </c>
      <c r="L17" s="45"/>
      <c r="M17" s="28">
        <f t="shared" si="3"/>
        <v>0</v>
      </c>
      <c r="N17" s="28" t="str">
        <f t="shared" si="4"/>
        <v/>
      </c>
      <c r="O17" s="37" t="b">
        <f t="shared" si="7"/>
        <v>0</v>
      </c>
      <c r="P17" s="30">
        <v>2.2999999999999998</v>
      </c>
    </row>
    <row r="18" spans="1:16" s="31" customFormat="1" ht="12" hidden="1">
      <c r="A18" s="29">
        <f t="shared" si="5"/>
        <v>1</v>
      </c>
      <c r="B18" s="39" t="str">
        <f t="shared" si="0"/>
        <v/>
      </c>
      <c r="C18" s="39" t="str">
        <f t="shared" si="1"/>
        <v/>
      </c>
      <c r="D18" s="40"/>
      <c r="E18" s="41"/>
      <c r="F18" s="42"/>
      <c r="G18" s="40"/>
      <c r="H18" s="41"/>
      <c r="I18" s="42"/>
      <c r="J18" s="43" t="str">
        <f t="shared" si="6"/>
        <v/>
      </c>
      <c r="K18" s="39" t="str">
        <f t="shared" si="2"/>
        <v/>
      </c>
      <c r="L18" s="45"/>
      <c r="M18" s="28">
        <f t="shared" si="3"/>
        <v>0</v>
      </c>
      <c r="N18" s="28" t="str">
        <f t="shared" si="4"/>
        <v/>
      </c>
      <c r="O18" s="37" t="b">
        <f t="shared" si="7"/>
        <v>0</v>
      </c>
      <c r="P18" s="30">
        <v>2.4</v>
      </c>
    </row>
    <row r="19" spans="1:16" s="31" customFormat="1" ht="12" hidden="1">
      <c r="A19" s="29">
        <f t="shared" si="5"/>
        <v>1</v>
      </c>
      <c r="B19" s="39" t="str">
        <f t="shared" si="0"/>
        <v/>
      </c>
      <c r="C19" s="39" t="str">
        <f t="shared" si="1"/>
        <v/>
      </c>
      <c r="D19" s="40"/>
      <c r="E19" s="41"/>
      <c r="F19" s="42"/>
      <c r="G19" s="40"/>
      <c r="H19" s="41"/>
      <c r="I19" s="42"/>
      <c r="J19" s="43" t="str">
        <f t="shared" si="6"/>
        <v/>
      </c>
      <c r="K19" s="39" t="str">
        <f t="shared" si="2"/>
        <v/>
      </c>
      <c r="L19" s="45"/>
      <c r="M19" s="28">
        <f t="shared" ref="M19:M34" si="8">IFERROR(VLOOKUP($P19,R_Analyse,3,0),0)</f>
        <v>0</v>
      </c>
      <c r="N19" s="28" t="str">
        <f t="shared" si="4"/>
        <v/>
      </c>
      <c r="O19" s="37" t="b">
        <f t="shared" si="7"/>
        <v>0</v>
      </c>
      <c r="P19" s="30">
        <v>3.1</v>
      </c>
    </row>
    <row r="20" spans="1:16" s="31" customFormat="1" ht="12" hidden="1">
      <c r="A20" s="29">
        <f t="shared" si="5"/>
        <v>1</v>
      </c>
      <c r="B20" s="39" t="str">
        <f t="shared" si="0"/>
        <v/>
      </c>
      <c r="C20" s="39" t="str">
        <f t="shared" si="1"/>
        <v/>
      </c>
      <c r="D20" s="40"/>
      <c r="E20" s="41"/>
      <c r="F20" s="42"/>
      <c r="G20" s="40"/>
      <c r="H20" s="41"/>
      <c r="I20" s="42"/>
      <c r="J20" s="43" t="str">
        <f t="shared" si="6"/>
        <v/>
      </c>
      <c r="K20" s="39" t="str">
        <f t="shared" si="2"/>
        <v/>
      </c>
      <c r="L20" s="45"/>
      <c r="M20" s="28">
        <f t="shared" si="8"/>
        <v>0</v>
      </c>
      <c r="N20" s="28" t="str">
        <f t="shared" si="4"/>
        <v/>
      </c>
      <c r="O20" s="37" t="b">
        <f t="shared" si="7"/>
        <v>0</v>
      </c>
      <c r="P20" s="30">
        <v>3.2</v>
      </c>
    </row>
    <row r="21" spans="1:16" s="31" customFormat="1" ht="12" hidden="1">
      <c r="A21" s="29">
        <f t="shared" si="5"/>
        <v>1</v>
      </c>
      <c r="B21" s="39" t="str">
        <f t="shared" si="0"/>
        <v/>
      </c>
      <c r="C21" s="39" t="str">
        <f t="shared" si="1"/>
        <v/>
      </c>
      <c r="D21" s="40"/>
      <c r="E21" s="41"/>
      <c r="F21" s="42"/>
      <c r="G21" s="40"/>
      <c r="H21" s="41"/>
      <c r="I21" s="42"/>
      <c r="J21" s="43" t="str">
        <f t="shared" si="6"/>
        <v/>
      </c>
      <c r="K21" s="39" t="str">
        <f t="shared" si="2"/>
        <v/>
      </c>
      <c r="L21" s="45"/>
      <c r="M21" s="28">
        <f t="shared" si="8"/>
        <v>0</v>
      </c>
      <c r="N21" s="28" t="str">
        <f t="shared" si="4"/>
        <v/>
      </c>
      <c r="O21" s="37" t="b">
        <f t="shared" si="7"/>
        <v>0</v>
      </c>
      <c r="P21" s="30">
        <v>4.0999999999999996</v>
      </c>
    </row>
    <row r="22" spans="1:16" s="31" customFormat="1" ht="12" hidden="1">
      <c r="A22" s="29">
        <f t="shared" si="5"/>
        <v>1</v>
      </c>
      <c r="B22" s="39" t="str">
        <f t="shared" si="0"/>
        <v/>
      </c>
      <c r="C22" s="39" t="str">
        <f t="shared" si="1"/>
        <v/>
      </c>
      <c r="D22" s="40"/>
      <c r="E22" s="41"/>
      <c r="F22" s="42"/>
      <c r="G22" s="40"/>
      <c r="H22" s="41"/>
      <c r="I22" s="42"/>
      <c r="J22" s="43" t="str">
        <f t="shared" si="6"/>
        <v/>
      </c>
      <c r="K22" s="39" t="str">
        <f t="shared" si="2"/>
        <v/>
      </c>
      <c r="L22" s="45"/>
      <c r="M22" s="28">
        <f t="shared" si="8"/>
        <v>0</v>
      </c>
      <c r="N22" s="28" t="str">
        <f t="shared" si="4"/>
        <v/>
      </c>
      <c r="O22" s="37" t="b">
        <f t="shared" si="7"/>
        <v>0</v>
      </c>
      <c r="P22" s="30">
        <v>4.2</v>
      </c>
    </row>
    <row r="23" spans="1:16" s="31" customFormat="1" ht="12" hidden="1">
      <c r="A23" s="29">
        <f t="shared" si="5"/>
        <v>1</v>
      </c>
      <c r="B23" s="39" t="str">
        <f t="shared" si="0"/>
        <v/>
      </c>
      <c r="C23" s="39" t="str">
        <f t="shared" si="1"/>
        <v/>
      </c>
      <c r="D23" s="40"/>
      <c r="E23" s="41"/>
      <c r="F23" s="42"/>
      <c r="G23" s="40"/>
      <c r="H23" s="41"/>
      <c r="I23" s="42"/>
      <c r="J23" s="43" t="str">
        <f t="shared" si="6"/>
        <v/>
      </c>
      <c r="K23" s="39" t="str">
        <f t="shared" si="2"/>
        <v/>
      </c>
      <c r="L23" s="45"/>
      <c r="M23" s="28">
        <f t="shared" si="8"/>
        <v>0</v>
      </c>
      <c r="N23" s="28" t="str">
        <f t="shared" si="4"/>
        <v/>
      </c>
      <c r="O23" s="37" t="b">
        <f t="shared" si="7"/>
        <v>0</v>
      </c>
      <c r="P23" s="30">
        <v>4.3</v>
      </c>
    </row>
    <row r="24" spans="1:16" s="31" customFormat="1" ht="12" hidden="1">
      <c r="A24" s="29">
        <f t="shared" si="5"/>
        <v>1</v>
      </c>
      <c r="B24" s="39" t="str">
        <f t="shared" si="0"/>
        <v/>
      </c>
      <c r="C24" s="39" t="str">
        <f t="shared" si="1"/>
        <v/>
      </c>
      <c r="D24" s="40"/>
      <c r="E24" s="41"/>
      <c r="F24" s="42"/>
      <c r="G24" s="40"/>
      <c r="H24" s="41"/>
      <c r="I24" s="42"/>
      <c r="J24" s="43" t="str">
        <f t="shared" si="6"/>
        <v/>
      </c>
      <c r="K24" s="39" t="str">
        <f t="shared" si="2"/>
        <v/>
      </c>
      <c r="L24" s="45"/>
      <c r="M24" s="28">
        <f t="shared" si="8"/>
        <v>0</v>
      </c>
      <c r="N24" s="28" t="str">
        <f t="shared" si="4"/>
        <v/>
      </c>
      <c r="O24" s="37" t="b">
        <f t="shared" si="7"/>
        <v>0</v>
      </c>
      <c r="P24" s="30">
        <v>4.4000000000000004</v>
      </c>
    </row>
    <row r="25" spans="1:16" s="31" customFormat="1" ht="36">
      <c r="A25" s="29">
        <f t="shared" si="5"/>
        <v>2</v>
      </c>
      <c r="B25" s="39" t="str">
        <f t="shared" si="0"/>
        <v>Bei ungeregelten Schnittstellen besteht die Gefahr, dass Projektierungsdifferenzen entstehen.</v>
      </c>
      <c r="C25" s="39" t="str">
        <f t="shared" si="1"/>
        <v>Ungedeckter Zusatzaufwand bei sich wiederholenden Planungen</v>
      </c>
      <c r="D25" s="40"/>
      <c r="E25" s="41" t="s">
        <v>16</v>
      </c>
      <c r="F25" s="42"/>
      <c r="G25" s="40"/>
      <c r="H25" s="41" t="s">
        <v>16</v>
      </c>
      <c r="I25" s="42"/>
      <c r="J25" s="43" t="str">
        <f t="shared" si="6"/>
        <v>M</v>
      </c>
      <c r="K25" s="39" t="str">
        <f t="shared" si="2"/>
        <v>Planungsprogramm erstellen
Aufgabenzuteilung zu externen Projektbeteiligten mit dem AG thematisieren</v>
      </c>
      <c r="L25" s="45" t="s">
        <v>110</v>
      </c>
      <c r="M25" s="28" t="str">
        <f t="shared" si="8"/>
        <v>x</v>
      </c>
      <c r="N25" s="28" t="str">
        <f t="shared" si="4"/>
        <v>x</v>
      </c>
      <c r="O25" s="37" t="b">
        <f t="shared" si="7"/>
        <v>1</v>
      </c>
      <c r="P25" s="30">
        <v>4.5</v>
      </c>
    </row>
    <row r="26" spans="1:16" s="31" customFormat="1" ht="12" hidden="1">
      <c r="A26" s="29">
        <f t="shared" si="5"/>
        <v>2</v>
      </c>
      <c r="B26" s="39" t="str">
        <f t="shared" si="0"/>
        <v/>
      </c>
      <c r="C26" s="39" t="str">
        <f t="shared" si="1"/>
        <v/>
      </c>
      <c r="D26" s="40"/>
      <c r="E26" s="41"/>
      <c r="F26" s="42"/>
      <c r="G26" s="40"/>
      <c r="H26" s="41"/>
      <c r="I26" s="42"/>
      <c r="J26" s="43" t="str">
        <f t="shared" si="6"/>
        <v/>
      </c>
      <c r="K26" s="39" t="str">
        <f t="shared" si="2"/>
        <v/>
      </c>
      <c r="L26" s="45"/>
      <c r="M26" s="28">
        <f t="shared" si="8"/>
        <v>0</v>
      </c>
      <c r="N26" s="28" t="str">
        <f t="shared" si="4"/>
        <v/>
      </c>
      <c r="O26" s="37" t="b">
        <f t="shared" si="7"/>
        <v>0</v>
      </c>
      <c r="P26" s="30">
        <v>4.5999999999999996</v>
      </c>
    </row>
    <row r="27" spans="1:16" s="31" customFormat="1" ht="12" hidden="1">
      <c r="A27" s="29">
        <f t="shared" si="5"/>
        <v>2</v>
      </c>
      <c r="B27" s="39" t="str">
        <f t="shared" si="0"/>
        <v/>
      </c>
      <c r="C27" s="39" t="str">
        <f t="shared" si="1"/>
        <v/>
      </c>
      <c r="D27" s="40"/>
      <c r="E27" s="41"/>
      <c r="F27" s="42"/>
      <c r="G27" s="40"/>
      <c r="H27" s="41"/>
      <c r="I27" s="42"/>
      <c r="J27" s="43" t="str">
        <f t="shared" si="6"/>
        <v/>
      </c>
      <c r="K27" s="39" t="str">
        <f t="shared" si="2"/>
        <v/>
      </c>
      <c r="L27" s="45"/>
      <c r="M27" s="28">
        <f t="shared" si="8"/>
        <v>0</v>
      </c>
      <c r="N27" s="28" t="str">
        <f t="shared" si="4"/>
        <v/>
      </c>
      <c r="O27" s="37" t="b">
        <f t="shared" si="7"/>
        <v>0</v>
      </c>
      <c r="P27" s="30">
        <v>4.7</v>
      </c>
    </row>
    <row r="28" spans="1:16" s="31" customFormat="1" ht="12" hidden="1">
      <c r="A28" s="29">
        <f t="shared" si="5"/>
        <v>2</v>
      </c>
      <c r="B28" s="39" t="str">
        <f t="shared" si="0"/>
        <v/>
      </c>
      <c r="C28" s="39" t="str">
        <f t="shared" si="1"/>
        <v/>
      </c>
      <c r="D28" s="40"/>
      <c r="E28" s="41"/>
      <c r="F28" s="42"/>
      <c r="G28" s="40"/>
      <c r="H28" s="41"/>
      <c r="I28" s="42"/>
      <c r="J28" s="43" t="str">
        <f t="shared" si="6"/>
        <v/>
      </c>
      <c r="K28" s="39" t="str">
        <f t="shared" si="2"/>
        <v/>
      </c>
      <c r="L28" s="45"/>
      <c r="M28" s="28">
        <f t="shared" si="8"/>
        <v>0</v>
      </c>
      <c r="N28" s="28" t="str">
        <f t="shared" si="4"/>
        <v/>
      </c>
      <c r="O28" s="37" t="b">
        <f t="shared" si="7"/>
        <v>0</v>
      </c>
      <c r="P28" s="30">
        <v>5.0999999999999996</v>
      </c>
    </row>
    <row r="29" spans="1:16" s="31" customFormat="1" ht="12" hidden="1">
      <c r="A29" s="29">
        <f t="shared" si="5"/>
        <v>2</v>
      </c>
      <c r="B29" s="39" t="str">
        <f t="shared" si="0"/>
        <v/>
      </c>
      <c r="C29" s="39" t="str">
        <f t="shared" si="1"/>
        <v/>
      </c>
      <c r="D29" s="40"/>
      <c r="E29" s="41"/>
      <c r="F29" s="42"/>
      <c r="G29" s="40"/>
      <c r="H29" s="41"/>
      <c r="I29" s="42"/>
      <c r="J29" s="43" t="str">
        <f t="shared" si="6"/>
        <v/>
      </c>
      <c r="K29" s="39" t="str">
        <f t="shared" si="2"/>
        <v/>
      </c>
      <c r="L29" s="45"/>
      <c r="M29" s="28">
        <f t="shared" si="8"/>
        <v>0</v>
      </c>
      <c r="N29" s="28" t="str">
        <f t="shared" si="4"/>
        <v/>
      </c>
      <c r="O29" s="37" t="b">
        <f t="shared" si="7"/>
        <v>0</v>
      </c>
      <c r="P29" s="30">
        <v>5.2</v>
      </c>
    </row>
    <row r="30" spans="1:16" s="31" customFormat="1" ht="12" hidden="1">
      <c r="A30" s="29">
        <f t="shared" si="5"/>
        <v>2</v>
      </c>
      <c r="B30" s="39" t="str">
        <f t="shared" si="0"/>
        <v/>
      </c>
      <c r="C30" s="39" t="str">
        <f t="shared" si="1"/>
        <v/>
      </c>
      <c r="D30" s="40"/>
      <c r="E30" s="41"/>
      <c r="F30" s="42"/>
      <c r="G30" s="40"/>
      <c r="H30" s="41"/>
      <c r="I30" s="42"/>
      <c r="J30" s="43" t="str">
        <f t="shared" si="6"/>
        <v/>
      </c>
      <c r="K30" s="39" t="str">
        <f t="shared" si="2"/>
        <v/>
      </c>
      <c r="L30" s="45"/>
      <c r="M30" s="28">
        <f t="shared" si="8"/>
        <v>0</v>
      </c>
      <c r="N30" s="28" t="str">
        <f t="shared" si="4"/>
        <v/>
      </c>
      <c r="O30" s="37" t="b">
        <f t="shared" si="7"/>
        <v>0</v>
      </c>
      <c r="P30" s="30">
        <v>5.3</v>
      </c>
    </row>
    <row r="31" spans="1:16" s="31" customFormat="1" ht="12" hidden="1">
      <c r="A31" s="29">
        <f t="shared" si="5"/>
        <v>2</v>
      </c>
      <c r="B31" s="39" t="str">
        <f t="shared" si="0"/>
        <v/>
      </c>
      <c r="C31" s="39" t="str">
        <f t="shared" si="1"/>
        <v/>
      </c>
      <c r="D31" s="40"/>
      <c r="E31" s="41"/>
      <c r="F31" s="42"/>
      <c r="G31" s="40"/>
      <c r="H31" s="41"/>
      <c r="I31" s="42"/>
      <c r="J31" s="43" t="str">
        <f t="shared" si="6"/>
        <v/>
      </c>
      <c r="K31" s="39" t="str">
        <f t="shared" si="2"/>
        <v/>
      </c>
      <c r="L31" s="45"/>
      <c r="M31" s="28">
        <f t="shared" si="8"/>
        <v>0</v>
      </c>
      <c r="N31" s="28" t="str">
        <f t="shared" si="4"/>
        <v/>
      </c>
      <c r="O31" s="37" t="b">
        <f t="shared" si="7"/>
        <v>0</v>
      </c>
      <c r="P31" s="30">
        <v>5.4</v>
      </c>
    </row>
    <row r="32" spans="1:16" s="31" customFormat="1" ht="12" hidden="1">
      <c r="A32" s="29">
        <f t="shared" si="5"/>
        <v>2</v>
      </c>
      <c r="B32" s="39" t="str">
        <f t="shared" si="0"/>
        <v/>
      </c>
      <c r="C32" s="39" t="str">
        <f t="shared" si="1"/>
        <v/>
      </c>
      <c r="D32" s="40"/>
      <c r="E32" s="41"/>
      <c r="F32" s="42"/>
      <c r="G32" s="40"/>
      <c r="H32" s="41"/>
      <c r="I32" s="42"/>
      <c r="J32" s="43" t="str">
        <f t="shared" si="6"/>
        <v/>
      </c>
      <c r="K32" s="39" t="str">
        <f t="shared" si="2"/>
        <v/>
      </c>
      <c r="L32" s="45"/>
      <c r="M32" s="28">
        <f t="shared" si="8"/>
        <v>0</v>
      </c>
      <c r="N32" s="28" t="str">
        <f t="shared" si="4"/>
        <v/>
      </c>
      <c r="O32" s="37" t="b">
        <f t="shared" si="7"/>
        <v>0</v>
      </c>
      <c r="P32" s="30">
        <v>6.1</v>
      </c>
    </row>
    <row r="33" spans="1:16" s="31" customFormat="1" ht="12" hidden="1">
      <c r="A33" s="29">
        <f t="shared" si="5"/>
        <v>2</v>
      </c>
      <c r="B33" s="39" t="str">
        <f t="shared" si="0"/>
        <v/>
      </c>
      <c r="C33" s="39" t="str">
        <f t="shared" si="1"/>
        <v/>
      </c>
      <c r="D33" s="40"/>
      <c r="E33" s="41"/>
      <c r="F33" s="42"/>
      <c r="G33" s="40"/>
      <c r="H33" s="41"/>
      <c r="I33" s="42"/>
      <c r="J33" s="43" t="str">
        <f t="shared" si="6"/>
        <v/>
      </c>
      <c r="K33" s="39" t="str">
        <f t="shared" si="2"/>
        <v/>
      </c>
      <c r="L33" s="45"/>
      <c r="M33" s="28">
        <f t="shared" si="8"/>
        <v>0</v>
      </c>
      <c r="N33" s="28" t="str">
        <f t="shared" si="4"/>
        <v/>
      </c>
      <c r="O33" s="37" t="b">
        <f t="shared" si="7"/>
        <v>0</v>
      </c>
      <c r="P33" s="30">
        <v>6.2</v>
      </c>
    </row>
    <row r="34" spans="1:16" s="31" customFormat="1" ht="12" hidden="1">
      <c r="A34" s="29">
        <f t="shared" si="5"/>
        <v>2</v>
      </c>
      <c r="B34" s="39" t="str">
        <f t="shared" si="0"/>
        <v/>
      </c>
      <c r="C34" s="39" t="str">
        <f t="shared" si="1"/>
        <v/>
      </c>
      <c r="D34" s="40"/>
      <c r="E34" s="41"/>
      <c r="F34" s="42"/>
      <c r="G34" s="40"/>
      <c r="H34" s="41"/>
      <c r="I34" s="42"/>
      <c r="J34" s="43" t="str">
        <f t="shared" si="6"/>
        <v/>
      </c>
      <c r="K34" s="39" t="str">
        <f t="shared" si="2"/>
        <v/>
      </c>
      <c r="L34" s="45"/>
      <c r="M34" s="28">
        <f t="shared" si="8"/>
        <v>0</v>
      </c>
      <c r="N34" s="28" t="str">
        <f t="shared" si="4"/>
        <v/>
      </c>
      <c r="O34" s="37" t="b">
        <f t="shared" si="7"/>
        <v>0</v>
      </c>
      <c r="P34" s="30">
        <v>6.3</v>
      </c>
    </row>
    <row r="35" spans="1:16">
      <c r="N35" s="7" t="s">
        <v>16</v>
      </c>
    </row>
    <row r="36" spans="1:16" hidden="1"/>
    <row r="37" spans="1:16" ht="12" hidden="1">
      <c r="D37" s="88" t="s">
        <v>84</v>
      </c>
    </row>
    <row r="38" spans="1:16" ht="12" hidden="1">
      <c r="D38" s="35" t="s">
        <v>85</v>
      </c>
    </row>
    <row r="39" spans="1:16" ht="12" hidden="1">
      <c r="D39" s="35" t="s">
        <v>86</v>
      </c>
    </row>
    <row r="40" spans="1:16" ht="12" hidden="1">
      <c r="D40" s="35" t="s">
        <v>87</v>
      </c>
    </row>
    <row r="41" spans="1:16" hidden="1"/>
    <row r="42" spans="1:16" hidden="1"/>
    <row r="43" spans="1:16" hidden="1"/>
    <row r="44" spans="1:16" hidden="1"/>
    <row r="45" spans="1:16" hidden="1"/>
    <row r="46" spans="1:16" hidden="1"/>
    <row r="47" spans="1:16" hidden="1"/>
    <row r="48" spans="1:16" hidden="1"/>
  </sheetData>
  <mergeCells count="2">
    <mergeCell ref="D6:F7"/>
    <mergeCell ref="G6:I7"/>
  </mergeCells>
  <conditionalFormatting sqref="L9:L34">
    <cfRule type="cellIs" dxfId="5" priority="5" stopIfTrue="1" operator="equal">
      <formula>"sehr hohe Priorität"</formula>
    </cfRule>
    <cfRule type="cellIs" dxfId="4" priority="6" stopIfTrue="1" operator="equal">
      <formula>"mittlere Priorität"</formula>
    </cfRule>
    <cfRule type="cellIs" dxfId="3" priority="7" stopIfTrue="1" operator="equal">
      <formula>"hohe Priorität"</formula>
    </cfRule>
  </conditionalFormatting>
  <conditionalFormatting sqref="J9:J35">
    <cfRule type="expression" dxfId="2" priority="1">
      <formula>$J9="g"</formula>
    </cfRule>
    <cfRule type="expression" dxfId="1" priority="2">
      <formula>$J9="M"</formula>
    </cfRule>
    <cfRule type="expression" dxfId="0" priority="3" stopIfTrue="1">
      <formula>$J9="h"</formula>
    </cfRule>
  </conditionalFormatting>
  <pageMargins left="0.51181102362204722" right="0.47244094488188981" top="0.51181102362204722" bottom="0.47244094488188981" header="0.23622047244094491" footer="0.15748031496062992"/>
  <pageSetup paperSize="8" scale="84" fitToHeight="0" orientation="landscape" horizontalDpi="1200" verticalDpi="1200" r:id="rId1"/>
  <headerFooter>
    <oddHeader>&amp;R&amp;G</oddHeader>
    <oddFooter>&amp;R&amp;"Arial,Fett"&amp;9 311.025.QCL / V 8.0 / &amp;"Arial,Standard"&amp;8Gültig ab: 01.09.2018 / Seite &amp;P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Ausblenden">
                <anchor moveWithCells="1" sizeWithCells="1">
                  <from>
                    <xdr:col>2</xdr:col>
                    <xdr:colOff>1924050</xdr:colOff>
                    <xdr:row>0</xdr:row>
                    <xdr:rowOff>190500</xdr:rowOff>
                  </from>
                  <to>
                    <xdr:col>4</xdr:col>
                    <xdr:colOff>47625</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4</vt:i4>
      </vt:variant>
    </vt:vector>
  </HeadingPairs>
  <TitlesOfParts>
    <vt:vector size="6" baseType="lpstr">
      <vt:lpstr>Risikoanalyse CL</vt:lpstr>
      <vt:lpstr>Risikobewertung</vt:lpstr>
      <vt:lpstr>'Risikoanalyse CL'!Druckbereich</vt:lpstr>
      <vt:lpstr>Risikobewertung!Druckbereich</vt:lpstr>
      <vt:lpstr>'Risikoanalyse CL'!Drucktitel</vt:lpstr>
      <vt:lpstr>R_Analyse</vt:lpstr>
    </vt:vector>
  </TitlesOfParts>
  <Company>Aegerter &amp; Bosshardt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Brunkhorst Marc</dc:creator>
  <cp:lastModifiedBy>Fuchs Christian</cp:lastModifiedBy>
  <cp:lastPrinted>2018-09-06T06:15:29Z</cp:lastPrinted>
  <dcterms:created xsi:type="dcterms:W3CDTF">2006-06-13T07:07:28Z</dcterms:created>
  <dcterms:modified xsi:type="dcterms:W3CDTF">2022-04-03T11:05:47Z</dcterms:modified>
</cp:coreProperties>
</file>