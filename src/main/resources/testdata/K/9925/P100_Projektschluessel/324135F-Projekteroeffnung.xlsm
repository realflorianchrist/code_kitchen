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4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5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5" yWindow="0" windowWidth="12780" windowHeight="14490" activeTab="7"/>
  </bookViews>
  <sheets>
    <sheet name=".Index100" sheetId="14" r:id="rId1"/>
    <sheet name=".Index200" sheetId="13" r:id="rId2"/>
    <sheet name=".Index300" sheetId="12" r:id="rId3"/>
    <sheet name=".Index400" sheetId="11" r:id="rId4"/>
    <sheet name=".Index500" sheetId="10" r:id="rId5"/>
    <sheet name=".Index600" sheetId="9" r:id="rId6"/>
    <sheet name=".Index700" sheetId="8" r:id="rId7"/>
    <sheet name=".Index999" sheetId="1" r:id="rId8"/>
    <sheet name="Gebiet" sheetId="3" state="hidden" r:id="rId9"/>
    <sheet name="Bereich" sheetId="2" state="hidden" r:id="rId10"/>
    <sheet name="Branche" sheetId="4" state="hidden" r:id="rId11"/>
    <sheet name="Organisation" sheetId="5" state="hidden" r:id="rId12"/>
    <sheet name="NK-Tarifkat" sheetId="6" state="hidden" r:id="rId13"/>
    <sheet name="RG-Ausloesung" sheetId="7" state="hidden" r:id="rId14"/>
  </sheets>
  <definedNames>
    <definedName name="Bereich">Bereich!$A$1:$A$95</definedName>
    <definedName name="Branche">Branche!$A$1:$A$182</definedName>
    <definedName name="_xlnm.Print_Area" localSheetId="0">'.Index100'!$A$1:$F$77</definedName>
    <definedName name="_xlnm.Print_Area" localSheetId="1">'.Index200'!$A$1:$F$77</definedName>
    <definedName name="_xlnm.Print_Area" localSheetId="2">'.Index300'!$A$1:$F$77</definedName>
    <definedName name="_xlnm.Print_Area" localSheetId="3">'.Index400'!$A$1:$F$77</definedName>
    <definedName name="_xlnm.Print_Area" localSheetId="4">'.Index500'!$A$1:$F$77</definedName>
    <definedName name="_xlnm.Print_Area" localSheetId="5">'.Index600'!$A$1:$F$77</definedName>
    <definedName name="_xlnm.Print_Area" localSheetId="6">'.Index700'!$A$1:$F$77</definedName>
    <definedName name="_xlnm.Print_Area" localSheetId="7">'.Index999'!$A$1:$F$77</definedName>
    <definedName name="Gebiet">Gebiet!$A$1:$A$22</definedName>
    <definedName name="NKTarifkat">'NK-Tarifkat'!$A$1:$A$10</definedName>
    <definedName name="Organisationseinheit" localSheetId="12">'NK-Tarifkat'!$A$1:$A$10</definedName>
    <definedName name="Organisationseinheit">Organisation!$A$1:$A$9</definedName>
    <definedName name="RG_Ausloesung">'RG-Ausloesung'!$A$1:$A$6</definedName>
  </definedNames>
  <calcPr calcId="145621"/>
</workbook>
</file>

<file path=xl/calcChain.xml><?xml version="1.0" encoding="utf-8"?>
<calcChain xmlns="http://schemas.openxmlformats.org/spreadsheetml/2006/main">
  <c r="A81" i="14" l="1"/>
  <c r="A79" i="14"/>
  <c r="C3" i="14"/>
  <c r="A81" i="13"/>
  <c r="A79" i="13"/>
  <c r="C3" i="13"/>
  <c r="A81" i="12"/>
  <c r="A79" i="12"/>
  <c r="C3" i="12"/>
  <c r="A81" i="11"/>
  <c r="A79" i="11"/>
  <c r="C3" i="11"/>
  <c r="A81" i="10"/>
  <c r="A79" i="10"/>
  <c r="C3" i="10"/>
  <c r="A81" i="9"/>
  <c r="A79" i="9"/>
  <c r="C3" i="9"/>
  <c r="A81" i="8"/>
  <c r="A79" i="8"/>
  <c r="C3" i="8"/>
  <c r="A79" i="1" l="1"/>
  <c r="C3" i="1" l="1"/>
  <c r="A81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<sst xmlns="http://schemas.openxmlformats.org/spreadsheetml/2006/main" count="1312" uniqueCount="670">
  <si>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</si>
  <si>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</si>
  <si>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</si>
  <si>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</si>
  <si>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</si>
  <si>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</si>
  <si>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</si>
  <si>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</si>
  <si>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</si>
  <si>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</si>
  <si>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</si>
  <si>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</si>
  <si>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</si>
  <si>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</si>
  <si>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</si>
  <si>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</si>
  <si>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</si>
  <si>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</si>
  <si>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</si>
  <si>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</si>
  <si>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</si>
  <si>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</si>
  <si>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</si>
  <si>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</si>
  <si>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</si>
  <si>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</si>
  <si>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</si>
  <si>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</si>
  <si>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</si>
  <si>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</si>
  <si>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</si>
  <si>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</si>
  <si>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</si>
  <si>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</si>
  <si>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</si>
  <si>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</si>
  <si>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</si>
  <si>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</si>
  <si>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</si>
  <si>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</si>
  <si>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</si>
  <si>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</si>
  <si>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</si>
  <si>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</si>
  <si>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</si>
  <si>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</si>
  <si>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</si>
  <si>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</si>
  <si>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</si>
  <si>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</si>
  <si>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</si>
  <si>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</si>
  <si>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</si>
  <si>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</si>
  <si>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</si>
  <si>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</si>
  <si>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</si>
  <si>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</si>
  <si>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</si>
  <si>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</si>
  <si>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</si>
  <si>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</si>
  <si>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</si>
  <si>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</si>
  <si>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</si>
  <si>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</si>
  <si>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</si>
  <si>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</si>
  <si>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</si>
  <si>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</si>
  <si>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</si>
  <si>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</si>
  <si>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</si>
  <si>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</si>
  <si>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</si>
  <si>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</si>
  <si>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</si>
  <si>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</si>
  <si>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</si>
  <si>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</si>
  <si>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</si>
  <si>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</si>
  <si>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</si>
  <si>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</si>
  <si>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</si>
  <si>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</si>
  <si>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</si>
  <si>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</si>
  <si>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</si>
  <si>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</si>
  <si>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</si>
  <si>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</si>
  <si>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</si>
  <si>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</si>
  <si>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</si>
  <si>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</si>
  <si>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</si>
  <si>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</si>
  <si>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</si>
  <si>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</si>
  <si>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</si>
  <si>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</si>
  <si>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</si>
  <si>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</si>
  <si>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</si>
  <si>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</si>
  <si>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</si>
  <si>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</si>
  <si>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</si>
  <si>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</si>
  <si>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</si>
  <si>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</si>
  <si>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</si>
  <si>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</si>
  <si>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</si>
  <si>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</si>
  <si>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</si>
  <si>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</si>
  <si>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</si>
  <si>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</si>
  <si>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</si>
  <si>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</si>
  <si>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</si>
  <si>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</si>
  <si>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</si>
  <si>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</si>
  <si>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</si>
  <si>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</si>
  <si>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</si>
  <si>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</si>
  <si>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</si>
  <si>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</si>
  <si>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</si>
  <si>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</si>
  <si>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</si>
  <si>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</si>
  <si>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</si>
  <si>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</si>
  <si>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</si>
  <si>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</si>
  <si>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</si>
  <si>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</si>
  <si>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</si>
  <si>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</si>
  <si>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</si>
  <si>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</si>
  <si>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</si>
  <si>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</si>
  <si>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</si>
  <si>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</si>
  <si>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</si>
  <si>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</si>
  <si>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</si>
  <si>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</si>
  <si>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</si>
  <si>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</si>
  <si>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</si>
  <si>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</si>
  <si>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</si>
  <si>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</si>
  <si>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</si>
  <si>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</si>
  <si>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</si>
  <si>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</si>
  <si>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</si>
  <si>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</si>
  <si>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</si>
  <si>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</si>
  <si>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</si>
  <si>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</si>
  <si>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</si>
  <si>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</si>
  <si>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</si>
  <si>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</si>
  <si>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</si>
  <si>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</si>
  <si>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</si>
  <si>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</si>
  <si>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</si>
  <si>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</si>
  <si>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</si>
  <si>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</si>
  <si>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</si>
  <si>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</si>
  <si>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</si>
  <si>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</si>
  <si>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</si>
  <si>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</si>
  <si>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</si>
  <si>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</si>
  <si>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</si>
  <si>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</si>
  <si>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</si>
  <si>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</si>
  <si>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</si>
  <si>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</si>
  <si>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</si>
  <si>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</si>
  <si>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</si>
  <si>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</si>
  <si>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</si>
  <si>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</si>
  <si>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</si>
  <si>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</si>
  <si>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</si>
  <si>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</si>
  <si>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</si>
  <si>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</si>
  <si>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</si>
  <si>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</si>
  <si>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</si>
  <si>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</si>
  <si>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</si>
  <si>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</si>
  <si>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</si>
  <si>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</si>
  <si>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</si>
  <si>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</si>
  <si>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</si>
  <si>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</si>
  <si>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</si>
  <si>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</si>
  <si>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</si>
  <si>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</si>
  <si>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</si>
  <si>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</si>
  <si>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</si>
  <si>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</si>
  <si>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</si>
  <si>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</si>
  <si>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</si>
  <si>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</si>
  <si>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</si>
  <si>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</si>
  <si>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</si>
  <si>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</si>
  <si>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</si>
  <si>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</si>
  <si>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</si>
  <si>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</si>
  <si>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</si>
  <si>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</si>
  <si>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</si>
  <si>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</si>
  <si>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</si>
  <si>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</si>
  <si>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</si>
  <si>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</si>
  <si>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</si>
  <si>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</si>
  <si>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</si>
  <si>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</si>
  <si>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</si>
  <si>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</si>
  <si>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</si>
  <si>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</si>
  <si>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</si>
  <si>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</si>
  <si>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</si>
  <si>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</si>
  <si>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</si>
  <si>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</si>
  <si>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</si>
  <si>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</si>
  <si>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</si>
  <si>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</si>
  <si>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</si>
  <si>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</si>
  <si>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</si>
  <si>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</si>
  <si>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</si>
  <si>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</si>
  <si>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</si>
  <si>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</si>
  <si>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</si>
  <si>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</si>
  <si>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</si>
  <si>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</si>
  <si>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</si>
  <si>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</si>
  <si>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</si>
  <si>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</si>
  <si>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</si>
  <si>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</si>
  <si>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</si>
  <si>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</si>
  <si>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</si>
  <si>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</si>
  <si>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</si>
  <si>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</si>
  <si>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</si>
  <si>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</si>
  <si>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</si>
  <si>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</si>
  <si>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</si>
  <si>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</si>
  <si>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</si>
  <si>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</si>
  <si>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</si>
  <si>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</si>
  <si>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</si>
  <si>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</si>
  <si>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</si>
  <si>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</si>
  <si>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</si>
  <si>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</si>
  <si>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</si>
  <si>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</si>
  <si>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</si>
  <si>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</si>
  <si>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</si>
  <si>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</si>
  <si>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</si>
  <si>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</si>
  <si>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</si>
  <si>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</si>
  <si>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</si>
  <si>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</si>
  <si>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</si>
  <si>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</si>
  <si>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</si>
  <si>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</si>
  <si>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</si>
  <si>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</si>
  <si>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</si>
  <si>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</si>
  <si>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</si>
  <si>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</si>
  <si>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</si>
  <si>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</si>
  <si>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</si>
  <si>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</si>
  <si>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</si>
  <si>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</si>
  <si>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</si>
  <si>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</si>
  <si>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</si>
  <si>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</si>
  <si>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</si>
  <si>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</si>
  <si>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</si>
  <si>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</si>
  <si>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</si>
  <si>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</si>
  <si>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</si>
  <si>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</si>
  <si>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</si>
  <si>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</si>
  <si>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</si>
  <si>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</si>
  <si>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</si>
  <si>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</si>
  <si>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</si>
  <si>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</si>
  <si>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</si>
  <si>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</si>
  <si>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</si>
  <si>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</si>
  <si>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</si>
  <si>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</si>
  <si>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</si>
  <si>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</si>
  <si>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</si>
  <si>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</si>
  <si>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</si>
  <si>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</si>
  <si>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</si>
  <si>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</si>
  <si>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</si>
  <si>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</si>
  <si>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</si>
  <si>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</si>
  <si>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</si>
  <si>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</si>
  <si>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</si>
  <si>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</si>
  <si>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</si>
  <si>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</si>
  <si>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</si>
  <si>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</si>
  <si>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</si>
  <si>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</si>
  <si>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</si>
  <si>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</si>
  <si>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</si>
  <si>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</si>
  <si>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</si>
  <si>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</si>
  <si>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</si>
  <si>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</si>
  <si>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</si>
  <si>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</si>
  <si>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</si>
  <si>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</si>
  <si>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</si>
  <si>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</si>
  <si>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</si>
  <si>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</si>
  <si>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</si>
  <si>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</si>
  <si>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</si>
  <si>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</si>
  <si>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</si>
  <si>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</si>
  <si>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</si>
  <si>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</si>
  <si>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</si>
  <si>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</si>
  <si>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</si>
  <si>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</si>
  <si>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</si>
  <si>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</si>
  <si>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</si>
  <si>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</si>
  <si>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</si>
  <si>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</si>
  <si>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</si>
  <si>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</si>
  <si>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</si>
  <si>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</si>
  <si>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</si>
  <si>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</si>
  <si>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</si>
  <si>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</si>
  <si>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</si>
  <si>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</si>
  <si>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</si>
  <si>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</si>
  <si>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</si>
  <si>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</si>
  <si>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</si>
  <si>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</si>
  <si>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</si>
  <si>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</si>
  <si>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</si>
  <si>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</si>
  <si>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</si>
  <si>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</si>
  <si>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</si>
  <si>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</si>
  <si>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</si>
  <si>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</si>
  <si>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</si>
  <si>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</si>
  <si>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</si>
  <si>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</si>
  <si>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</si>
  <si>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</si>
  <si>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</si>
  <si>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</si>
  <si>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</si>
  <si>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</si>
  <si>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</si>
  <si>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</si>
  <si>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</si>
  <si>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</si>
  <si>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</si>
  <si>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</si>
  <si>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</si>
  <si>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</si>
  <si>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</si>
  <si>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</si>
  <si>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</si>
  <si>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</si>
  <si>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</si>
  <si>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</si>
  <si>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</si>
  <si>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</si>
  <si>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</si>
  <si>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</si>
  <si>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</si>
  <si>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</si>
  <si>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</si>
  <si>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</si>
  <si>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</si>
  <si>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</si>
  <si>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</si>
  <si>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</si>
  <si>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</si>
  <si>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</si>
  <si>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</si>
  <si>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</si>
  <si>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</si>
  <si>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</si>
  <si>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</si>
  <si>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</si>
  <si>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</si>
  <si>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</si>
  <si>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</si>
  <si>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</si>
  <si>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</si>
  <si>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</si>
  <si>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</si>
  <si>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</si>
  <si>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</si>
  <si>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</si>
  <si>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</si>
  <si>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</si>
  <si>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</si>
  <si>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</si>
  <si>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</si>
  <si>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</si>
  <si>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</si>
  <si>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</si>
  <si>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</si>
  <si>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</si>
  <si>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</si>
  <si>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</si>
  <si>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</si>
  <si>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</si>
  <si>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</si>
  <si>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</si>
  <si>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</si>
  <si>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</si>
  <si>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</si>
  <si>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</si>
  <si>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</si>
  <si>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</si>
  <si>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</si>
  <si>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</si>
  <si>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</si>
  <si>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</si>
  <si>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</si>
  <si>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</si>
  <si>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</si>
  <si>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</si>
  <si>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</si>
  <si>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</si>
  <si>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</si>
  <si>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</si>
  <si>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</si>
  <si>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</si>
  <si>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</si>
  <si>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</si>
  <si>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</si>
  <si>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</si>
  <si>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</si>
  <si>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</si>
  <si>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</si>
  <si>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</si>
  <si>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</si>
  <si>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</si>
  <si>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</si>
  <si>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</si>
  <si>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</si>
  <si>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</si>
  <si>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</si>
  <si>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</si>
  <si>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</si>
  <si>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</si>
  <si>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</si>
  <si>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</si>
  <si>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</si>
  <si>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</si>
  <si>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</si>
  <si>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</si>
  <si>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</si>
  <si>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</si>
  <si>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</si>
  <si>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</si>
  <si>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</si>
  <si>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</si>
  <si>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</si>
  <si>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</si>
  <si>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</si>
  <si>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</si>
  <si>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</si>
  <si>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</si>
  <si>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</si>
  <si>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</si>
  <si>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</si>
  <si>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</si>
  <si>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</si>
  <si>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</si>
  <si>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</si>
  <si>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</si>
  <si>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</si>
  <si>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</si>
  <si>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</si>
  <si>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</si>
  <si>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</si>
  <si>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</si>
  <si>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</si>
  <si>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</si>
  <si>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Bauherr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</si>
  <si>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</si>
  <si>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</si>
  <si>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</si>
  <si>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</si>
  <si>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</si>
  <si>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</si>
  <si>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</si>
  <si>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</si>
  <si>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</si>
  <si>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</si>
  <si>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</si>
  <si>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</si>
  <si>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</si>
  <si>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</si>
  <si>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</si>
  <si>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</si>
  <si>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</si>
  <si>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</si>
  <si>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</si>
  <si>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</si>
  <si>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</si>
  <si>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</si>
  <si>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</si>
  <si>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</si>
  <si>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</si>
  <si>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</si>
  <si>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</si>
  <si>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</si>
  <si>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</si>
  <si>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</si>
  <si>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</si>
  <si>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</si>
  <si>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</si>
  <si>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</si>
  <si>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</si>
  <si>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</si>
  <si>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</si>
  <si>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</si>
  <si>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</si>
  <si>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</si>
  <si>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</si>
  <si>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</si>
  <si>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</si>
  <si>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Versandadresse = Bauherr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</si>
  <si>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</si>
  <si>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</si>
  <si>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</si>
  <si>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</si>
  <si>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</si>
  <si>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</si>
  <si>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</si>
  <si>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</si>
  <si>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</si>
  <si>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</si>
  <si>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</si>
  <si>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</si>
  <si>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</si>
  <si>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</si>
  <si>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</si>
  <si>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</si>
  <si>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</si>
  <si>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</si>
  <si>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A.B.BH. Bautenerhalt und Geomatik</t>
  </si>
  <si>
    <t>TBA BS</t>
  </si>
  <si>
    <t>Kanalisation Zürcherstrasse</t>
  </si>
  <si>
    <t>TJe</t>
  </si>
  <si>
    <t>FL</t>
  </si>
  <si>
    <t>Bau- und Verkehrsdepartement des Kantons Basel-Stadt, Tiefbauamt</t>
  </si>
  <si>
    <t>Murat Akkaya</t>
  </si>
  <si>
    <t>Dufourstrasse 40/50</t>
  </si>
  <si>
    <t>4001 Basel</t>
  </si>
  <si>
    <t>Bau-/Ausführungsprojekt</t>
  </si>
  <si>
    <t>5.1.1. Abwasser</t>
  </si>
  <si>
    <t>CH.01.Kanton BS</t>
  </si>
  <si>
    <t>2.1.1. Tiefbauämter</t>
  </si>
  <si>
    <t>SCe</t>
  </si>
  <si>
    <t>KBOB</t>
  </si>
  <si>
    <t>Ausschreibung, Offertvergleich</t>
  </si>
  <si>
    <t>Örttliche Bauleitung HPL</t>
  </si>
  <si>
    <t>Kanalisationsbegehren</t>
  </si>
  <si>
    <t>Liegenschaftsbegehungen</t>
  </si>
  <si>
    <t>Mittelstundenansatz 120 CHF</t>
  </si>
  <si>
    <t>Örtliche Bauleitung GAL</t>
  </si>
  <si>
    <t>Schlüsselorganisation</t>
  </si>
  <si>
    <t>Nebenkosten nicht verrechenbar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</si>
</sst>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32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G$45" lockText="1" noThreeD="1"/>
</file>

<file path=xl/ctrlProps/ctrlProp2.xml><?xml version="1.0" encoding="utf-8"?>
<formControlPr xmlns="http://schemas.microsoft.com/office/spreadsheetml/2009/9/main" objectType="CheckBox" fmlaLink="$G$47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firstButton="1" fmlaLink="G61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Radio" firstButton="1" fmlaLink="G53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fmlaLink="$G$20" lockText="1" noThreeD="1"/>
</file>

<file path=xl/ctrlProps/ctrlProp20.xml><?xml version="1.0" encoding="utf-8"?>
<formControlPr xmlns="http://schemas.microsoft.com/office/spreadsheetml/2009/9/main" objectType="CheckBox" checked="Checked" fmlaLink="$G$45" lockText="1" noThreeD="1"/>
</file>

<file path=xl/ctrlProps/ctrlProp21.xml><?xml version="1.0" encoding="utf-8"?>
<formControlPr xmlns="http://schemas.microsoft.com/office/spreadsheetml/2009/9/main" objectType="CheckBox" fmlaLink="$G$47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Radio" firstButton="1" fmlaLink="G61" lockText="1" noThreeD="1"/>
</file>

<file path=xl/ctrlProps/ctrlProp26.xml><?xml version="1.0" encoding="utf-8"?>
<formControlPr xmlns="http://schemas.microsoft.com/office/spreadsheetml/2009/9/main" objectType="Radio" checked="Checked" lockText="1" noThreeD="1"/>
</file>

<file path=xl/ctrlProps/ctrlProp27.xml><?xml version="1.0" encoding="utf-8"?>
<formControlPr xmlns="http://schemas.microsoft.com/office/spreadsheetml/2009/9/main" objectType="Radio" firstButton="1" fmlaLink="G53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Radio" checked="Checked" firstButton="1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fmlaLink="$G$20" lockText="1" noThreeD="1"/>
</file>

<file path=xl/ctrlProps/ctrlProp39.xml><?xml version="1.0" encoding="utf-8"?>
<formControlPr xmlns="http://schemas.microsoft.com/office/spreadsheetml/2009/9/main" objectType="CheckBox" checked="Checked" fmlaLink="$G$45" lockText="1" noThreeD="1"/>
</file>

<file path=xl/ctrlProps/ctrlProp40.xml><?xml version="1.0" encoding="utf-8"?>
<formControlPr xmlns="http://schemas.microsoft.com/office/spreadsheetml/2009/9/main" objectType="CheckBox" fmlaLink="$G$47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Radio" firstButton="1" fmlaLink="G61" lockText="1" noThreeD="1"/>
</file>

<file path=xl/ctrlProps/ctrlProp45.xml><?xml version="1.0" encoding="utf-8"?>
<formControlPr xmlns="http://schemas.microsoft.com/office/spreadsheetml/2009/9/main" objectType="Radio" checked="Checked" lockText="1" noThreeD="1"/>
</file>

<file path=xl/ctrlProps/ctrlProp46.xml><?xml version="1.0" encoding="utf-8"?>
<formControlPr xmlns="http://schemas.microsoft.com/office/spreadsheetml/2009/9/main" objectType="Radio" firstButton="1" fmlaLink="G53" lockText="1" noThreeD="1"/>
</file>

<file path=xl/ctrlProps/ctrlProp47.xml><?xml version="1.0" encoding="utf-8"?>
<formControlPr xmlns="http://schemas.microsoft.com/office/spreadsheetml/2009/9/main" objectType="Radio" checked="Checked" lockText="1" noThreeD="1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Radio" checked="Checked" firstButton="1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GBox"/>
</file>

<file path=xl/ctrlProps/ctrlProp53.xml><?xml version="1.0" encoding="utf-8"?>
<formControlPr xmlns="http://schemas.microsoft.com/office/spreadsheetml/2009/9/main" objectType="GBox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fmlaLink="$G$20" lockText="1" noThreeD="1"/>
</file>

<file path=xl/ctrlProps/ctrlProp58.xml><?xml version="1.0" encoding="utf-8"?>
<formControlPr xmlns="http://schemas.microsoft.com/office/spreadsheetml/2009/9/main" objectType="CheckBox" checked="Checked" fmlaLink="$G$45" lockText="1" noThreeD="1"/>
</file>

<file path=xl/ctrlProps/ctrlProp59.xml><?xml version="1.0" encoding="utf-8"?>
<formControlPr xmlns="http://schemas.microsoft.com/office/spreadsheetml/2009/9/main" objectType="CheckBox" fmlaLink="$G$47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Radio" firstButton="1" fmlaLink="G61" lockText="1" noThreeD="1"/>
</file>

<file path=xl/ctrlProps/ctrlProp64.xml><?xml version="1.0" encoding="utf-8"?>
<formControlPr xmlns="http://schemas.microsoft.com/office/spreadsheetml/2009/9/main" objectType="Radio" checked="Checked" lockText="1" noThreeD="1"/>
</file>

<file path=xl/ctrlProps/ctrlProp65.xml><?xml version="1.0" encoding="utf-8"?>
<formControlPr xmlns="http://schemas.microsoft.com/office/spreadsheetml/2009/9/main" objectType="Radio" firstButton="1" fmlaLink="G53" lockText="1" noThreeD="1"/>
</file>

<file path=xl/ctrlProps/ctrlProp66.xml><?xml version="1.0" encoding="utf-8"?>
<formControlPr xmlns="http://schemas.microsoft.com/office/spreadsheetml/2009/9/main" objectType="Radio" checked="Checked" lockText="1" noThreeD="1"/>
</file>

<file path=xl/ctrlProps/ctrlProp67.xml><?xml version="1.0" encoding="utf-8"?>
<formControlPr xmlns="http://schemas.microsoft.com/office/spreadsheetml/2009/9/main" objectType="GBox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GBox"/>
</file>

<file path=xl/ctrlProps/ctrlProp72.xml><?xml version="1.0" encoding="utf-8"?>
<formControlPr xmlns="http://schemas.microsoft.com/office/spreadsheetml/2009/9/main" objectType="GBox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checked="Checked" fmlaLink="$G$20" lockText="1" noThreeD="1"/>
</file>

<file path=xl/ctrlProps/ctrlProp77.xml><?xml version="1.0" encoding="utf-8"?>
<formControlPr xmlns="http://schemas.microsoft.com/office/spreadsheetml/2009/9/main" objectType="CheckBox" checked="Checked" fmlaLink="$G$45" lockText="1" noThreeD="1"/>
</file>

<file path=xl/ctrlProps/ctrlProp78.xml><?xml version="1.0" encoding="utf-8"?>
<formControlPr xmlns="http://schemas.microsoft.com/office/spreadsheetml/2009/9/main" objectType="CheckBox" fmlaLink="$G$47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Radio" checked="Checked" firstButton="1" fmlaLink="G61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firstButton="1" fmlaLink="G53" lockText="1" noThreeD="1"/>
</file>

<file path=xl/ctrlProps/ctrlProp85.xml><?xml version="1.0" encoding="utf-8"?>
<formControlPr xmlns="http://schemas.microsoft.com/office/spreadsheetml/2009/9/main" objectType="Radio" checked="Checked" lockText="1" noThreeD="1"/>
</file>

<file path=xl/ctrlProps/ctrlProp86.xml><?xml version="1.0" encoding="utf-8"?>
<formControlPr xmlns="http://schemas.microsoft.com/office/spreadsheetml/2009/9/main" objectType="GBox"/>
</file>

<file path=xl/ctrlProps/ctrlProp87.xml><?xml version="1.0" encoding="utf-8"?>
<formControlPr xmlns="http://schemas.microsoft.com/office/spreadsheetml/2009/9/main" objectType="Radio" checked="Checked" firstButton="1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GBox"/>
</file>

<file path=xl/ctrlProps/ctrlProp91.xml><?xml version="1.0" encoding="utf-8"?>
<formControlPr xmlns="http://schemas.microsoft.com/office/spreadsheetml/2009/9/main" objectType="GBox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checked="Checked" fmlaLink="$G$20" lockText="1" noThreeD="1"/>
</file>

<file path=xl/ctrlProps/ctrlProp96.xml><?xml version="1.0" encoding="utf-8"?>
<formControlPr xmlns="http://schemas.microsoft.com/office/spreadsheetml/2009/9/main" objectType="CheckBox" checked="Checked" fmlaLink="$G$45" lockText="1" noThreeD="1"/>
</file>

<file path=xl/ctrlProps/ctrlProp97.xml><?xml version="1.0" encoding="utf-8"?>
<formControlPr xmlns="http://schemas.microsoft.com/office/spreadsheetml/2009/9/main" objectType="CheckBox" fmlaLink="$G$47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Radio" checked="Checked" firstButton="1" fmlaLink="G61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firstButton="1" fmlaLink="G53" lockText="1" noThreeD="1"/>
</file>

<file path=xl/ctrlProps/ctrlProp104.xml><?xml version="1.0" encoding="utf-8"?>
<formControlPr xmlns="http://schemas.microsoft.com/office/spreadsheetml/2009/9/main" objectType="Radio" checked="Checked" lockText="1" noThreeD="1"/>
</file>

<file path=xl/ctrlProps/ctrlProp105.xml><?xml version="1.0" encoding="utf-8"?>
<formControlPr xmlns="http://schemas.microsoft.com/office/spreadsheetml/2009/9/main" objectType="GBox"/>
</file>

<file path=xl/ctrlProps/ctrlProp106.xml><?xml version="1.0" encoding="utf-8"?>
<formControlPr xmlns="http://schemas.microsoft.com/office/spreadsheetml/2009/9/main" objectType="Radio" checked="Checked" firstButton="1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/>
</file>

<file path=xl/ctrlProps/ctrlProp110.xml><?xml version="1.0" encoding="utf-8"?>
<formControlPr xmlns="http://schemas.microsoft.com/office/spreadsheetml/2009/9/main" objectType="GBox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fmlaLink="$G$20" lockText="1" noThreeD="1"/>
</file>

<file path=xl/ctrlProps/ctrlProp115.xml><?xml version="1.0" encoding="utf-8"?>
<formControlPr xmlns="http://schemas.microsoft.com/office/spreadsheetml/2009/9/main" objectType="CheckBox" checked="Checked" fmlaLink="$G$45" lockText="1" noThreeD="1"/>
</file>

<file path=xl/ctrlProps/ctrlProp116.xml><?xml version="1.0" encoding="utf-8"?>
<formControlPr xmlns="http://schemas.microsoft.com/office/spreadsheetml/2009/9/main" objectType="CheckBox" fmlaLink="$G$47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Radio" firstButton="1" fmlaLink="G61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firstButton="1" fmlaLink="G53" lockText="1" noThreeD="1"/>
</file>

<file path=xl/ctrlProps/ctrlProp123.xml><?xml version="1.0" encoding="utf-8"?>
<formControlPr xmlns="http://schemas.microsoft.com/office/spreadsheetml/2009/9/main" objectType="Radio" checked="Checked" lockText="1" noThreeD="1"/>
</file>

<file path=xl/ctrlProps/ctrlProp124.xml><?xml version="1.0" encoding="utf-8"?>
<formControlPr xmlns="http://schemas.microsoft.com/office/spreadsheetml/2009/9/main" objectType="GBox"/>
</file>

<file path=xl/ctrlProps/ctrlProp125.xml><?xml version="1.0" encoding="utf-8"?>
<formControlPr xmlns="http://schemas.microsoft.com/office/spreadsheetml/2009/9/main" objectType="Radio" checked="Checked" firstButton="1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GBox"/>
</file>

<file path=xl/ctrlProps/ctrlProp129.xml><?xml version="1.0" encoding="utf-8"?>
<formControlPr xmlns="http://schemas.microsoft.com/office/spreadsheetml/2009/9/main" objectType="GBox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checked="Checked" fmlaLink="$G$20" lockText="1" noThreeD="1"/>
</file>

<file path=xl/ctrlProps/ctrlProp134.xml><?xml version="1.0" encoding="utf-8"?>
<formControlPr xmlns="http://schemas.microsoft.com/office/spreadsheetml/2009/9/main" objectType="CheckBox" fmlaLink="$G$45" lockText="1" noThreeD="1"/>
</file>

<file path=xl/ctrlProps/ctrlProp135.xml><?xml version="1.0" encoding="utf-8"?>
<formControlPr xmlns="http://schemas.microsoft.com/office/spreadsheetml/2009/9/main" objectType="CheckBox" checked="Checked" fmlaLink="$G$47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Radio" firstButton="1" fmlaLink="G61" lockText="1" noThreeD="1"/>
</file>

<file path=xl/ctrlProps/ctrlProp140.xml><?xml version="1.0" encoding="utf-8"?>
<formControlPr xmlns="http://schemas.microsoft.com/office/spreadsheetml/2009/9/main" objectType="Radio" checked="Checked" lockText="1" noThreeD="1"/>
</file>

<file path=xl/ctrlProps/ctrlProp141.xml><?xml version="1.0" encoding="utf-8"?>
<formControlPr xmlns="http://schemas.microsoft.com/office/spreadsheetml/2009/9/main" objectType="Radio" firstButton="1" fmlaLink="G53" lockText="1" noThreeD="1"/>
</file>

<file path=xl/ctrlProps/ctrlProp142.xml><?xml version="1.0" encoding="utf-8"?>
<formControlPr xmlns="http://schemas.microsoft.com/office/spreadsheetml/2009/9/main" objectType="Radio" checked="Checked" lockText="1" noThreeD="1"/>
</file>

<file path=xl/ctrlProps/ctrlProp143.xml><?xml version="1.0" encoding="utf-8"?>
<formControlPr xmlns="http://schemas.microsoft.com/office/spreadsheetml/2009/9/main" objectType="GBox"/>
</file>

<file path=xl/ctrlProps/ctrlProp144.xml><?xml version="1.0" encoding="utf-8"?>
<formControlPr xmlns="http://schemas.microsoft.com/office/spreadsheetml/2009/9/main" objectType="Radio" checked="Checked" firstButton="1" lockText="1" noThreeD="1"/>
</file>

<file path=xl/ctrlProps/ctrlProp145.xml><?xml version="1.0" encoding="utf-8"?>
<formControlPr xmlns="http://schemas.microsoft.com/office/spreadsheetml/2009/9/main" objectType="Radio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GBox"/>
</file>

<file path=xl/ctrlProps/ctrlProp148.xml><?xml version="1.0" encoding="utf-8"?>
<formControlPr xmlns="http://schemas.microsoft.com/office/spreadsheetml/2009/9/main" objectType="GBox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checked="Checked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8202" name="Rechnungsausl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8206" name="Group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8207" name="Versicherung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7175" name="Option 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7176" name="Option 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7178" name="Rechnungsausl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7182" name="Group Box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7183" name="Versicherung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6150" name="Option 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6151" name="Option 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6152" name="Option 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6153" name="Option 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6154" name="Rechnungsausl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6155" name="Option 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6156" name="Option 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6157" name="Option 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6158" name="Group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6159" name="Versicherung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5126" name="Option 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5127" name="Option 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5130" name="Rechnungsausl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5131" name="Option 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5132" name="Option 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5133" name="Option 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5134" name="Group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5135" name="Versicherung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4106" name="Rechnungsausl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4110" name="Group Box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4111" name="Versicherung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3082" name="Rechnungsausl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3086" name="Group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3087" name="Versicherung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2058" name="Rechnungsaus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2062" name="Group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2063" name="Versicherung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52</xdr:row>
          <xdr:rowOff>161925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50</xdr:row>
          <xdr:rowOff>161925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23" Type="http://schemas.openxmlformats.org/officeDocument/2006/relationships/ctrlProp" Target="../ctrlProps/ctrlProp38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18" Type="http://schemas.openxmlformats.org/officeDocument/2006/relationships/ctrlProp" Target="../ctrlProps/ctrlProp52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5.x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17" Type="http://schemas.openxmlformats.org/officeDocument/2006/relationships/ctrlProp" Target="../ctrlProps/ctrlProp5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0.xml"/><Relationship Id="rId20" Type="http://schemas.openxmlformats.org/officeDocument/2006/relationships/ctrlProp" Target="../ctrlProps/ctrlProp5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5" Type="http://schemas.openxmlformats.org/officeDocument/2006/relationships/ctrlProp" Target="../ctrlProps/ctrlProp49.xml"/><Relationship Id="rId23" Type="http://schemas.openxmlformats.org/officeDocument/2006/relationships/ctrlProp" Target="../ctrlProps/ctrlProp57.xml"/><Relationship Id="rId10" Type="http://schemas.openxmlformats.org/officeDocument/2006/relationships/ctrlProp" Target="../ctrlProps/ctrlProp44.xml"/><Relationship Id="rId19" Type="http://schemas.openxmlformats.org/officeDocument/2006/relationships/ctrlProp" Target="../ctrlProps/ctrlProp5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3.xml"/><Relationship Id="rId14" Type="http://schemas.openxmlformats.org/officeDocument/2006/relationships/ctrlProp" Target="../ctrlProps/ctrlProp48.xml"/><Relationship Id="rId22" Type="http://schemas.openxmlformats.org/officeDocument/2006/relationships/ctrlProp" Target="../ctrlProps/ctrlProp5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74.x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69.xml"/><Relationship Id="rId20" Type="http://schemas.openxmlformats.org/officeDocument/2006/relationships/ctrlProp" Target="../ctrlProps/ctrlProp7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10" Type="http://schemas.openxmlformats.org/officeDocument/2006/relationships/ctrlProp" Target="../ctrlProps/ctrlProp63.xml"/><Relationship Id="rId19" Type="http://schemas.openxmlformats.org/officeDocument/2006/relationships/ctrlProp" Target="../ctrlProps/ctrlProp72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0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3" Type="http://schemas.openxmlformats.org/officeDocument/2006/relationships/vmlDrawing" Target="../drawings/vmlDrawing9.vml"/><Relationship Id="rId21" Type="http://schemas.openxmlformats.org/officeDocument/2006/relationships/ctrlProp" Target="../ctrlProps/ctrlProp93.xml"/><Relationship Id="rId7" Type="http://schemas.openxmlformats.org/officeDocument/2006/relationships/ctrlProp" Target="../ctrlProps/ctrlProp79.x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88.xml"/><Relationship Id="rId20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8.xml"/><Relationship Id="rId11" Type="http://schemas.openxmlformats.org/officeDocument/2006/relationships/ctrlProp" Target="../ctrlProps/ctrlProp83.xml"/><Relationship Id="rId5" Type="http://schemas.openxmlformats.org/officeDocument/2006/relationships/ctrlProp" Target="../ctrlProps/ctrlProp77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10" Type="http://schemas.openxmlformats.org/officeDocument/2006/relationships/ctrlProp" Target="../ctrlProps/ctrlProp82.xml"/><Relationship Id="rId19" Type="http://schemas.openxmlformats.org/officeDocument/2006/relationships/ctrlProp" Target="../ctrlProps/ctrlProp91.xml"/><Relationship Id="rId4" Type="http://schemas.openxmlformats.org/officeDocument/2006/relationships/vmlDrawing" Target="../drawings/vmlDrawing10.vml"/><Relationship Id="rId9" Type="http://schemas.openxmlformats.org/officeDocument/2006/relationships/ctrlProp" Target="../ctrlProps/ctrlProp8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112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4" Type="http://schemas.openxmlformats.org/officeDocument/2006/relationships/vmlDrawing" Target="../drawings/vmlDrawing12.v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13" Type="http://schemas.openxmlformats.org/officeDocument/2006/relationships/ctrlProp" Target="../ctrlProps/ctrlProp123.xml"/><Relationship Id="rId18" Type="http://schemas.openxmlformats.org/officeDocument/2006/relationships/ctrlProp" Target="../ctrlProps/ctrlProp128.xml"/><Relationship Id="rId3" Type="http://schemas.openxmlformats.org/officeDocument/2006/relationships/vmlDrawing" Target="../drawings/vmlDrawing13.vml"/><Relationship Id="rId21" Type="http://schemas.openxmlformats.org/officeDocument/2006/relationships/ctrlProp" Target="../ctrlProps/ctrlProp131.xml"/><Relationship Id="rId7" Type="http://schemas.openxmlformats.org/officeDocument/2006/relationships/ctrlProp" Target="../ctrlProps/ctrlProp117.xml"/><Relationship Id="rId12" Type="http://schemas.openxmlformats.org/officeDocument/2006/relationships/ctrlProp" Target="../ctrlProps/ctrlProp122.xml"/><Relationship Id="rId17" Type="http://schemas.openxmlformats.org/officeDocument/2006/relationships/ctrlProp" Target="../ctrlProps/ctrlProp12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26.xml"/><Relationship Id="rId20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5" Type="http://schemas.openxmlformats.org/officeDocument/2006/relationships/ctrlProp" Target="../ctrlProps/ctrlProp125.xml"/><Relationship Id="rId23" Type="http://schemas.openxmlformats.org/officeDocument/2006/relationships/ctrlProp" Target="../ctrlProps/ctrlProp133.xml"/><Relationship Id="rId10" Type="http://schemas.openxmlformats.org/officeDocument/2006/relationships/ctrlProp" Target="../ctrlProps/ctrlProp120.xml"/><Relationship Id="rId19" Type="http://schemas.openxmlformats.org/officeDocument/2006/relationships/ctrlProp" Target="../ctrlProps/ctrlProp129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119.xml"/><Relationship Id="rId14" Type="http://schemas.openxmlformats.org/officeDocument/2006/relationships/ctrlProp" Target="../ctrlProps/ctrlProp124.xml"/><Relationship Id="rId22" Type="http://schemas.openxmlformats.org/officeDocument/2006/relationships/ctrlProp" Target="../ctrlProps/ctrlProp1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7.xml"/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3" Type="http://schemas.openxmlformats.org/officeDocument/2006/relationships/vmlDrawing" Target="../drawings/vmlDrawing15.vml"/><Relationship Id="rId21" Type="http://schemas.openxmlformats.org/officeDocument/2006/relationships/ctrlProp" Target="../ctrlProps/ctrlProp150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9925</v>
      </c>
      <c r="D4" s="68"/>
      <c r="E4" s="68"/>
      <c r="F4" s="69"/>
    </row>
    <row r="5" spans="1:7" s="15" customFormat="1" ht="12.75" customHeight="1" x14ac:dyDescent="0.2">
      <c r="A5" s="38" t="s">
        <v>619</v>
      </c>
      <c r="B5" s="38"/>
      <c r="C5" s="62" t="s">
        <v>647</v>
      </c>
      <c r="D5" s="62"/>
      <c r="E5" s="62"/>
      <c r="F5" s="62"/>
      <c r="G5" s="28"/>
    </row>
    <row r="6" spans="1:7" ht="12.75" customHeight="1" x14ac:dyDescent="0.2">
      <c r="A6" s="16" t="s">
        <v>8</v>
      </c>
      <c r="B6" s="16"/>
      <c r="C6" s="62" t="s">
        <v>648</v>
      </c>
      <c r="D6" s="62"/>
      <c r="E6" s="62"/>
      <c r="F6" s="62"/>
    </row>
    <row r="7" spans="1:7" s="15" customFormat="1" ht="12.75" customHeight="1" x14ac:dyDescent="0.2">
      <c r="A7" s="16" t="s">
        <v>633</v>
      </c>
      <c r="B7" s="31" t="s">
        <v>627</v>
      </c>
      <c r="C7" s="61" t="s">
        <v>649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640</v>
      </c>
      <c r="C10" s="48">
        <v>43466</v>
      </c>
      <c r="D10" s="54" t="s">
        <v>643</v>
      </c>
      <c r="E10" s="48">
        <v>43983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1" t="s">
        <v>652</v>
      </c>
      <c r="D14" s="61"/>
      <c r="E14" s="61"/>
      <c r="F14" s="61"/>
    </row>
    <row r="15" spans="1:7" ht="12.75" customHeight="1" x14ac:dyDescent="0.2">
      <c r="B15" s="38" t="s">
        <v>585</v>
      </c>
      <c r="C15" s="61" t="s">
        <v>653</v>
      </c>
      <c r="D15" s="61"/>
      <c r="E15" s="61"/>
      <c r="F15" s="61"/>
    </row>
    <row r="16" spans="1:7" ht="12.75" customHeight="1" x14ac:dyDescent="0.2">
      <c r="B16" s="38" t="s">
        <v>4</v>
      </c>
      <c r="C16" s="61"/>
      <c r="D16" s="61"/>
      <c r="E16" s="61"/>
      <c r="F16" s="61"/>
    </row>
    <row r="17" spans="1:7" ht="12.75" customHeight="1" x14ac:dyDescent="0.2">
      <c r="B17" s="38" t="s">
        <v>5</v>
      </c>
      <c r="C17" s="61" t="s">
        <v>654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655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1</v>
      </c>
    </row>
    <row r="21" spans="1:7" ht="12.75" customHeight="1" x14ac:dyDescent="0.2">
      <c r="A21" s="38" t="s">
        <v>621</v>
      </c>
      <c r="B21" s="38" t="s">
        <v>594</v>
      </c>
      <c r="C21" s="61"/>
      <c r="D21" s="61"/>
      <c r="E21" s="61"/>
      <c r="F21" s="61"/>
    </row>
    <row r="22" spans="1:7" ht="12.75" customHeight="1" x14ac:dyDescent="0.2">
      <c r="B22" s="38" t="s">
        <v>629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100</v>
      </c>
      <c r="D29" s="6"/>
      <c r="E29" s="66" t="s">
        <v>656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1" t="s">
        <v>657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658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659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>
        <v>43441</v>
      </c>
      <c r="D37" s="54" t="s">
        <v>643</v>
      </c>
      <c r="E37" s="64"/>
      <c r="F37" s="64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1"/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660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5" t="s">
        <v>644</v>
      </c>
      <c r="B49" s="65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1"/>
      <c r="F53" s="61"/>
      <c r="G53" s="46">
        <v>2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/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2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1" t="s">
        <v>661</v>
      </c>
      <c r="D65" s="61"/>
      <c r="E65" s="61"/>
      <c r="F65" s="61"/>
    </row>
    <row r="66" spans="1:7" x14ac:dyDescent="0.2">
      <c r="A66" s="38" t="s">
        <v>17</v>
      </c>
      <c r="C66" s="62" t="s">
        <v>599</v>
      </c>
      <c r="D66" s="62"/>
      <c r="E66" s="62"/>
      <c r="F66" s="62"/>
    </row>
    <row r="67" spans="1:7" ht="3.95" customHeight="1" x14ac:dyDescent="0.2"/>
    <row r="68" spans="1:7" ht="12.6" customHeight="1" x14ac:dyDescent="0.2">
      <c r="A68" s="47" t="s">
        <v>639</v>
      </c>
      <c r="E68" s="63"/>
      <c r="F68" s="63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6500</v>
      </c>
      <c r="D72" s="6"/>
      <c r="E72" s="38" t="s">
        <v>605</v>
      </c>
    </row>
    <row r="73" spans="1:7" ht="13.9" customHeight="1" x14ac:dyDescent="0.2">
      <c r="B73" s="38" t="s">
        <v>13</v>
      </c>
      <c r="C73" s="21"/>
      <c r="D73" s="6"/>
      <c r="E73" s="38" t="s">
        <v>606</v>
      </c>
    </row>
    <row r="74" spans="1:7" x14ac:dyDescent="0.2">
      <c r="B74" s="38" t="s">
        <v>14</v>
      </c>
      <c r="C74" s="21"/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31" priority="4">
      <formula>$G$20=TRUE</formula>
    </cfRule>
  </conditionalFormatting>
  <conditionalFormatting sqref="A21:A22">
    <cfRule type="expression" dxfId="30" priority="3">
      <formula>$G$20=TRUE</formula>
    </cfRule>
  </conditionalFormatting>
  <conditionalFormatting sqref="F45">
    <cfRule type="expression" dxfId="29" priority="2">
      <formula>$G$45=TRUE</formula>
    </cfRule>
  </conditionalFormatting>
  <conditionalFormatting sqref="C45">
    <cfRule type="expression" dxfId="28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9925</v>
      </c>
      <c r="D4" s="68"/>
      <c r="E4" s="68"/>
      <c r="F4" s="69"/>
    </row>
    <row r="5" spans="1:7" s="15" customFormat="1" ht="12.75" customHeight="1" x14ac:dyDescent="0.2">
      <c r="A5" s="38" t="s">
        <v>619</v>
      </c>
      <c r="B5" s="38"/>
      <c r="C5" s="62" t="s">
        <v>647</v>
      </c>
      <c r="D5" s="62"/>
      <c r="E5" s="62"/>
      <c r="F5" s="62"/>
      <c r="G5" s="28"/>
    </row>
    <row r="6" spans="1:7" ht="12.75" customHeight="1" x14ac:dyDescent="0.2">
      <c r="A6" s="16" t="s">
        <v>8</v>
      </c>
      <c r="B6" s="16"/>
      <c r="C6" s="62" t="s">
        <v>648</v>
      </c>
      <c r="D6" s="62"/>
      <c r="E6" s="62"/>
      <c r="F6" s="62"/>
    </row>
    <row r="7" spans="1:7" s="15" customFormat="1" ht="12.75" customHeight="1" x14ac:dyDescent="0.2">
      <c r="A7" s="16" t="s">
        <v>633</v>
      </c>
      <c r="B7" s="31" t="s">
        <v>627</v>
      </c>
      <c r="C7" s="61" t="s">
        <v>649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640</v>
      </c>
      <c r="C10" s="48">
        <v>43466</v>
      </c>
      <c r="D10" s="54" t="s">
        <v>643</v>
      </c>
      <c r="E10" s="48">
        <v>43983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1" t="s">
        <v>652</v>
      </c>
      <c r="D14" s="61"/>
      <c r="E14" s="61"/>
      <c r="F14" s="61"/>
    </row>
    <row r="15" spans="1:7" ht="12.75" customHeight="1" x14ac:dyDescent="0.2">
      <c r="B15" s="38" t="s">
        <v>585</v>
      </c>
      <c r="C15" s="61" t="s">
        <v>653</v>
      </c>
      <c r="D15" s="61"/>
      <c r="E15" s="61"/>
      <c r="F15" s="61"/>
    </row>
    <row r="16" spans="1:7" ht="12.75" customHeight="1" x14ac:dyDescent="0.2">
      <c r="B16" s="38" t="s">
        <v>4</v>
      </c>
      <c r="C16" s="61"/>
      <c r="D16" s="61"/>
      <c r="E16" s="61"/>
      <c r="F16" s="61"/>
    </row>
    <row r="17" spans="1:7" ht="12.75" customHeight="1" x14ac:dyDescent="0.2">
      <c r="B17" s="38" t="s">
        <v>5</v>
      </c>
      <c r="C17" s="61" t="s">
        <v>654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655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1</v>
      </c>
    </row>
    <row r="21" spans="1:7" ht="12.75" customHeight="1" x14ac:dyDescent="0.2">
      <c r="A21" s="38" t="s">
        <v>621</v>
      </c>
      <c r="B21" s="38" t="s">
        <v>594</v>
      </c>
      <c r="C21" s="61"/>
      <c r="D21" s="61"/>
      <c r="E21" s="61"/>
      <c r="F21" s="61"/>
    </row>
    <row r="22" spans="1:7" ht="12.75" customHeight="1" x14ac:dyDescent="0.2">
      <c r="B22" s="38" t="s">
        <v>629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200</v>
      </c>
      <c r="D29" s="6"/>
      <c r="E29" s="66" t="s">
        <v>662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1" t="s">
        <v>657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658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659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>
        <v>43441</v>
      </c>
      <c r="D37" s="54" t="s">
        <v>643</v>
      </c>
      <c r="E37" s="64"/>
      <c r="F37" s="64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1"/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660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5" t="s">
        <v>644</v>
      </c>
      <c r="B49" s="65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1"/>
      <c r="F53" s="61"/>
      <c r="G53" s="46">
        <v>2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/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2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1" t="s">
        <v>661</v>
      </c>
      <c r="D65" s="61"/>
      <c r="E65" s="61"/>
      <c r="F65" s="61"/>
    </row>
    <row r="66" spans="1:7" x14ac:dyDescent="0.2">
      <c r="A66" s="38" t="s">
        <v>17</v>
      </c>
      <c r="C66" s="62" t="s">
        <v>599</v>
      </c>
      <c r="D66" s="62"/>
      <c r="E66" s="62"/>
      <c r="F66" s="62"/>
    </row>
    <row r="67" spans="1:7" ht="3.95" customHeight="1" x14ac:dyDescent="0.2"/>
    <row r="68" spans="1:7" ht="12.6" customHeight="1" x14ac:dyDescent="0.2">
      <c r="A68" s="47" t="s">
        <v>639</v>
      </c>
      <c r="E68" s="63"/>
      <c r="F68" s="63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5400</v>
      </c>
      <c r="D72" s="6"/>
      <c r="E72" s="38" t="s">
        <v>605</v>
      </c>
    </row>
    <row r="73" spans="1:7" ht="13.9" customHeight="1" x14ac:dyDescent="0.2">
      <c r="B73" s="38" t="s">
        <v>13</v>
      </c>
      <c r="C73" s="21"/>
      <c r="D73" s="6"/>
      <c r="E73" s="38" t="s">
        <v>606</v>
      </c>
    </row>
    <row r="74" spans="1:7" x14ac:dyDescent="0.2">
      <c r="B74" s="38" t="s">
        <v>14</v>
      </c>
      <c r="C74" s="21"/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27" priority="4">
      <formula>$G$20=TRUE</formula>
    </cfRule>
  </conditionalFormatting>
  <conditionalFormatting sqref="A21:A22">
    <cfRule type="expression" dxfId="26" priority="3">
      <formula>$G$20=TRUE</formula>
    </cfRule>
  </conditionalFormatting>
  <conditionalFormatting sqref="F45">
    <cfRule type="expression" dxfId="25" priority="2">
      <formula>$G$45=TRUE</formula>
    </cfRule>
  </conditionalFormatting>
  <conditionalFormatting sqref="C45">
    <cfRule type="expression" dxfId="24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pageSetUpPr fitToPage="1"/>
  </sheetPr>
  <dimension ref="A1:G180"/>
  <sheetViews>
    <sheetView showGridLines="0" zoomScale="115" zoomScaleNormal="115" workbookViewId="0">
      <selection activeCell="C5" sqref="C5:F5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9925</v>
      </c>
      <c r="D4" s="68"/>
      <c r="E4" s="68"/>
      <c r="F4" s="69"/>
    </row>
    <row r="5" spans="1:7" s="15" customFormat="1" ht="12.75" customHeight="1" x14ac:dyDescent="0.2">
      <c r="A5" s="38" t="s">
        <v>619</v>
      </c>
      <c r="B5" s="38"/>
      <c r="C5" s="62" t="s">
        <v>647</v>
      </c>
      <c r="D5" s="62"/>
      <c r="E5" s="62"/>
      <c r="F5" s="62"/>
      <c r="G5" s="28"/>
    </row>
    <row r="6" spans="1:7" ht="12.75" customHeight="1" x14ac:dyDescent="0.2">
      <c r="A6" s="16" t="s">
        <v>8</v>
      </c>
      <c r="B6" s="16"/>
      <c r="C6" s="62" t="s">
        <v>648</v>
      </c>
      <c r="D6" s="62"/>
      <c r="E6" s="62"/>
      <c r="F6" s="62"/>
    </row>
    <row r="7" spans="1:7" s="15" customFormat="1" ht="12.75" customHeight="1" x14ac:dyDescent="0.2">
      <c r="A7" s="16" t="s">
        <v>633</v>
      </c>
      <c r="B7" s="31" t="s">
        <v>627</v>
      </c>
      <c r="C7" s="61" t="s">
        <v>649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640</v>
      </c>
      <c r="C10" s="48">
        <v>43466</v>
      </c>
      <c r="D10" s="54" t="s">
        <v>643</v>
      </c>
      <c r="E10" s="48">
        <v>43983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1" t="s">
        <v>652</v>
      </c>
      <c r="D14" s="61"/>
      <c r="E14" s="61"/>
      <c r="F14" s="61"/>
    </row>
    <row r="15" spans="1:7" ht="12.75" customHeight="1" x14ac:dyDescent="0.2">
      <c r="B15" s="38" t="s">
        <v>585</v>
      </c>
      <c r="C15" s="61" t="s">
        <v>653</v>
      </c>
      <c r="D15" s="61"/>
      <c r="E15" s="61"/>
      <c r="F15" s="61"/>
    </row>
    <row r="16" spans="1:7" ht="12.75" customHeight="1" x14ac:dyDescent="0.2">
      <c r="B16" s="38" t="s">
        <v>4</v>
      </c>
      <c r="C16" s="61"/>
      <c r="D16" s="61"/>
      <c r="E16" s="61"/>
      <c r="F16" s="61"/>
    </row>
    <row r="17" spans="1:7" ht="12.75" customHeight="1" x14ac:dyDescent="0.2">
      <c r="B17" s="38" t="s">
        <v>5</v>
      </c>
      <c r="C17" s="61" t="s">
        <v>654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655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1</v>
      </c>
    </row>
    <row r="21" spans="1:7" ht="12.75" customHeight="1" x14ac:dyDescent="0.2">
      <c r="A21" s="38" t="s">
        <v>621</v>
      </c>
      <c r="B21" s="38" t="s">
        <v>594</v>
      </c>
      <c r="C21" s="61"/>
      <c r="D21" s="61"/>
      <c r="E21" s="61"/>
      <c r="F21" s="61"/>
    </row>
    <row r="22" spans="1:7" ht="12.75" customHeight="1" x14ac:dyDescent="0.2">
      <c r="B22" s="38" t="s">
        <v>629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300</v>
      </c>
      <c r="D29" s="6"/>
      <c r="E29" s="66" t="s">
        <v>663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1" t="s">
        <v>657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658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659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>
        <v>43441</v>
      </c>
      <c r="D37" s="54" t="s">
        <v>643</v>
      </c>
      <c r="E37" s="64"/>
      <c r="F37" s="64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1"/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660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5" t="s">
        <v>644</v>
      </c>
      <c r="B49" s="65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1"/>
      <c r="F53" s="61"/>
      <c r="G53" s="46">
        <v>2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/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2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1" t="s">
        <v>661</v>
      </c>
      <c r="D65" s="61"/>
      <c r="E65" s="61"/>
      <c r="F65" s="61"/>
    </row>
    <row r="66" spans="1:7" x14ac:dyDescent="0.2">
      <c r="A66" s="38" t="s">
        <v>17</v>
      </c>
      <c r="C66" s="62" t="s">
        <v>599</v>
      </c>
      <c r="D66" s="62"/>
      <c r="E66" s="62"/>
      <c r="F66" s="62"/>
    </row>
    <row r="67" spans="1:7" ht="3.95" customHeight="1" x14ac:dyDescent="0.2"/>
    <row r="68" spans="1:7" ht="12.6" customHeight="1" x14ac:dyDescent="0.2">
      <c r="A68" s="47" t="s">
        <v>639</v>
      </c>
      <c r="E68" s="63"/>
      <c r="F68" s="63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8300</v>
      </c>
      <c r="D72" s="6"/>
      <c r="E72" s="38" t="s">
        <v>605</v>
      </c>
    </row>
    <row r="73" spans="1:7" ht="13.9" customHeight="1" x14ac:dyDescent="0.2">
      <c r="B73" s="38" t="s">
        <v>13</v>
      </c>
      <c r="C73" s="21"/>
      <c r="D73" s="6"/>
      <c r="E73" s="38" t="s">
        <v>606</v>
      </c>
    </row>
    <row r="74" spans="1:7" x14ac:dyDescent="0.2">
      <c r="B74" s="38" t="s">
        <v>14</v>
      </c>
      <c r="C74" s="21"/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23" priority="4">
      <formula>$G$20=TRUE</formula>
    </cfRule>
  </conditionalFormatting>
  <conditionalFormatting sqref="A21:A22">
    <cfRule type="expression" dxfId="22" priority="3">
      <formula>$G$20=TRUE</formula>
    </cfRule>
  </conditionalFormatting>
  <conditionalFormatting sqref="F45">
    <cfRule type="expression" dxfId="21" priority="2">
      <formula>$G$45=TRUE</formula>
    </cfRule>
  </conditionalFormatting>
  <conditionalFormatting sqref="C45">
    <cfRule type="expression" dxfId="20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9925</v>
      </c>
      <c r="D4" s="68"/>
      <c r="E4" s="68"/>
      <c r="F4" s="69"/>
    </row>
    <row r="5" spans="1:7" s="15" customFormat="1" ht="12.75" customHeight="1" x14ac:dyDescent="0.2">
      <c r="A5" s="38" t="s">
        <v>619</v>
      </c>
      <c r="B5" s="38"/>
      <c r="C5" s="62" t="s">
        <v>647</v>
      </c>
      <c r="D5" s="62"/>
      <c r="E5" s="62"/>
      <c r="F5" s="62"/>
      <c r="G5" s="28"/>
    </row>
    <row r="6" spans="1:7" ht="12.75" customHeight="1" x14ac:dyDescent="0.2">
      <c r="A6" s="16" t="s">
        <v>8</v>
      </c>
      <c r="B6" s="16"/>
      <c r="C6" s="62" t="s">
        <v>648</v>
      </c>
      <c r="D6" s="62"/>
      <c r="E6" s="62"/>
      <c r="F6" s="62"/>
    </row>
    <row r="7" spans="1:7" s="15" customFormat="1" ht="12.75" customHeight="1" x14ac:dyDescent="0.2">
      <c r="A7" s="16" t="s">
        <v>633</v>
      </c>
      <c r="B7" s="31" t="s">
        <v>627</v>
      </c>
      <c r="C7" s="61" t="s">
        <v>649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640</v>
      </c>
      <c r="C10" s="48">
        <v>43466</v>
      </c>
      <c r="D10" s="54" t="s">
        <v>643</v>
      </c>
      <c r="E10" s="48">
        <v>43983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1" t="s">
        <v>652</v>
      </c>
      <c r="D14" s="61"/>
      <c r="E14" s="61"/>
      <c r="F14" s="61"/>
    </row>
    <row r="15" spans="1:7" ht="12.75" customHeight="1" x14ac:dyDescent="0.2">
      <c r="B15" s="38" t="s">
        <v>585</v>
      </c>
      <c r="C15" s="61" t="s">
        <v>653</v>
      </c>
      <c r="D15" s="61"/>
      <c r="E15" s="61"/>
      <c r="F15" s="61"/>
    </row>
    <row r="16" spans="1:7" ht="12.75" customHeight="1" x14ac:dyDescent="0.2">
      <c r="B16" s="38" t="s">
        <v>4</v>
      </c>
      <c r="C16" s="61"/>
      <c r="D16" s="61"/>
      <c r="E16" s="61"/>
      <c r="F16" s="61"/>
    </row>
    <row r="17" spans="1:7" ht="12.75" customHeight="1" x14ac:dyDescent="0.2">
      <c r="B17" s="38" t="s">
        <v>5</v>
      </c>
      <c r="C17" s="61" t="s">
        <v>654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655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1</v>
      </c>
    </row>
    <row r="21" spans="1:7" ht="12.75" customHeight="1" x14ac:dyDescent="0.2">
      <c r="A21" s="38" t="s">
        <v>621</v>
      </c>
      <c r="B21" s="38" t="s">
        <v>594</v>
      </c>
      <c r="C21" s="61"/>
      <c r="D21" s="61"/>
      <c r="E21" s="61"/>
      <c r="F21" s="61"/>
    </row>
    <row r="22" spans="1:7" ht="12.75" customHeight="1" x14ac:dyDescent="0.2">
      <c r="B22" s="38" t="s">
        <v>629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400</v>
      </c>
      <c r="D29" s="6"/>
      <c r="E29" s="66" t="s">
        <v>664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1" t="s">
        <v>657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658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659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>
        <v>43441</v>
      </c>
      <c r="D37" s="54" t="s">
        <v>643</v>
      </c>
      <c r="E37" s="64"/>
      <c r="F37" s="64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1"/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660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5" t="s">
        <v>644</v>
      </c>
      <c r="B49" s="65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1"/>
      <c r="F53" s="61"/>
      <c r="G53" s="46">
        <v>2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/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2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1" t="s">
        <v>661</v>
      </c>
      <c r="D65" s="61"/>
      <c r="E65" s="61"/>
      <c r="F65" s="61"/>
    </row>
    <row r="66" spans="1:7" x14ac:dyDescent="0.2">
      <c r="A66" s="38" t="s">
        <v>17</v>
      </c>
      <c r="C66" s="62" t="s">
        <v>599</v>
      </c>
      <c r="D66" s="62"/>
      <c r="E66" s="62"/>
      <c r="F66" s="62"/>
    </row>
    <row r="67" spans="1:7" ht="3.95" customHeight="1" x14ac:dyDescent="0.2"/>
    <row r="68" spans="1:7" ht="12.6" customHeight="1" x14ac:dyDescent="0.2">
      <c r="A68" s="47" t="s">
        <v>639</v>
      </c>
      <c r="E68" s="63"/>
      <c r="F68" s="63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5030</v>
      </c>
      <c r="D72" s="6"/>
      <c r="E72" s="38" t="s">
        <v>605</v>
      </c>
    </row>
    <row r="73" spans="1:7" ht="13.9" customHeight="1" x14ac:dyDescent="0.2">
      <c r="B73" s="38" t="s">
        <v>13</v>
      </c>
      <c r="C73" s="21"/>
      <c r="D73" s="6"/>
      <c r="E73" s="38" t="s">
        <v>606</v>
      </c>
    </row>
    <row r="74" spans="1:7" x14ac:dyDescent="0.2">
      <c r="B74" s="38" t="s">
        <v>14</v>
      </c>
      <c r="C74" s="21"/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19" priority="4">
      <formula>$G$20=TRUE</formula>
    </cfRule>
  </conditionalFormatting>
  <conditionalFormatting sqref="A21:A22">
    <cfRule type="expression" dxfId="18" priority="3">
      <formula>$G$20=TRUE</formula>
    </cfRule>
  </conditionalFormatting>
  <conditionalFormatting sqref="F45">
    <cfRule type="expression" dxfId="17" priority="2">
      <formula>$G$45=TRUE</formula>
    </cfRule>
  </conditionalFormatting>
  <conditionalFormatting sqref="C45">
    <cfRule type="expression" dxfId="16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9925</v>
      </c>
      <c r="D4" s="68"/>
      <c r="E4" s="68"/>
      <c r="F4" s="69"/>
    </row>
    <row r="5" spans="1:7" s="15" customFormat="1" ht="12.75" customHeight="1" x14ac:dyDescent="0.2">
      <c r="A5" s="38" t="s">
        <v>619</v>
      </c>
      <c r="B5" s="38"/>
      <c r="C5" s="62" t="s">
        <v>647</v>
      </c>
      <c r="D5" s="62"/>
      <c r="E5" s="62"/>
      <c r="F5" s="62"/>
      <c r="G5" s="28"/>
    </row>
    <row r="6" spans="1:7" ht="12.75" customHeight="1" x14ac:dyDescent="0.2">
      <c r="A6" s="16" t="s">
        <v>8</v>
      </c>
      <c r="B6" s="16"/>
      <c r="C6" s="62" t="s">
        <v>648</v>
      </c>
      <c r="D6" s="62"/>
      <c r="E6" s="62"/>
      <c r="F6" s="62"/>
    </row>
    <row r="7" spans="1:7" s="15" customFormat="1" ht="12.75" customHeight="1" x14ac:dyDescent="0.2">
      <c r="A7" s="16" t="s">
        <v>633</v>
      </c>
      <c r="B7" s="31" t="s">
        <v>627</v>
      </c>
      <c r="C7" s="61" t="s">
        <v>649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640</v>
      </c>
      <c r="C10" s="48">
        <v>43466</v>
      </c>
      <c r="D10" s="54" t="s">
        <v>643</v>
      </c>
      <c r="E10" s="48">
        <v>43983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1" t="s">
        <v>652</v>
      </c>
      <c r="D14" s="61"/>
      <c r="E14" s="61"/>
      <c r="F14" s="61"/>
    </row>
    <row r="15" spans="1:7" ht="12.75" customHeight="1" x14ac:dyDescent="0.2">
      <c r="B15" s="38" t="s">
        <v>585</v>
      </c>
      <c r="C15" s="61" t="s">
        <v>653</v>
      </c>
      <c r="D15" s="61"/>
      <c r="E15" s="61"/>
      <c r="F15" s="61"/>
    </row>
    <row r="16" spans="1:7" ht="12.75" customHeight="1" x14ac:dyDescent="0.2">
      <c r="B16" s="38" t="s">
        <v>4</v>
      </c>
      <c r="C16" s="61"/>
      <c r="D16" s="61"/>
      <c r="E16" s="61"/>
      <c r="F16" s="61"/>
    </row>
    <row r="17" spans="1:7" ht="12.75" customHeight="1" x14ac:dyDescent="0.2">
      <c r="B17" s="38" t="s">
        <v>5</v>
      </c>
      <c r="C17" s="61" t="s">
        <v>654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655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1</v>
      </c>
    </row>
    <row r="21" spans="1:7" ht="12.75" customHeight="1" x14ac:dyDescent="0.2">
      <c r="A21" s="38" t="s">
        <v>621</v>
      </c>
      <c r="B21" s="38" t="s">
        <v>594</v>
      </c>
      <c r="C21" s="61"/>
      <c r="D21" s="61"/>
      <c r="E21" s="61"/>
      <c r="F21" s="61"/>
    </row>
    <row r="22" spans="1:7" ht="12.75" customHeight="1" x14ac:dyDescent="0.2">
      <c r="B22" s="38" t="s">
        <v>629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500</v>
      </c>
      <c r="D29" s="6"/>
      <c r="E29" s="66" t="s">
        <v>665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1" t="s">
        <v>657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658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659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>
        <v>43441</v>
      </c>
      <c r="D37" s="54" t="s">
        <v>643</v>
      </c>
      <c r="E37" s="64"/>
      <c r="F37" s="64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1"/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660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5" t="s">
        <v>644</v>
      </c>
      <c r="B49" s="65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1"/>
      <c r="F53" s="61"/>
      <c r="G53" s="46">
        <v>2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/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1" t="s">
        <v>666</v>
      </c>
      <c r="D65" s="61"/>
      <c r="E65" s="61"/>
      <c r="F65" s="61"/>
    </row>
    <row r="66" spans="1:7" x14ac:dyDescent="0.2">
      <c r="A66" s="38" t="s">
        <v>17</v>
      </c>
      <c r="C66" s="62" t="s">
        <v>595</v>
      </c>
      <c r="D66" s="62"/>
      <c r="E66" s="62"/>
      <c r="F66" s="62"/>
    </row>
    <row r="67" spans="1:7" ht="3.95" customHeight="1" x14ac:dyDescent="0.2"/>
    <row r="68" spans="1:7" ht="12.6" customHeight="1" x14ac:dyDescent="0.2">
      <c r="A68" s="47" t="s">
        <v>639</v>
      </c>
      <c r="E68" s="63"/>
      <c r="F68" s="63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3200</v>
      </c>
      <c r="D72" s="6"/>
      <c r="E72" s="38" t="s">
        <v>605</v>
      </c>
    </row>
    <row r="73" spans="1:7" ht="13.9" customHeight="1" x14ac:dyDescent="0.2">
      <c r="B73" s="38" t="s">
        <v>13</v>
      </c>
      <c r="C73" s="21"/>
      <c r="D73" s="6"/>
      <c r="E73" s="38" t="s">
        <v>606</v>
      </c>
    </row>
    <row r="74" spans="1:7" x14ac:dyDescent="0.2">
      <c r="B74" s="38" t="s">
        <v>14</v>
      </c>
      <c r="C74" s="21"/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15" priority="4">
      <formula>$G$20=TRUE</formula>
    </cfRule>
  </conditionalFormatting>
  <conditionalFormatting sqref="A21:A22">
    <cfRule type="expression" dxfId="14" priority="3">
      <formula>$G$20=TRUE</formula>
    </cfRule>
  </conditionalFormatting>
  <conditionalFormatting sqref="F45">
    <cfRule type="expression" dxfId="13" priority="2">
      <formula>$G$45=TRUE</formula>
    </cfRule>
  </conditionalFormatting>
  <conditionalFormatting sqref="C45">
    <cfRule type="expression" dxfId="12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9925</v>
      </c>
      <c r="D4" s="68"/>
      <c r="E4" s="68"/>
      <c r="F4" s="69"/>
    </row>
    <row r="5" spans="1:7" s="15" customFormat="1" ht="12.75" customHeight="1" x14ac:dyDescent="0.2">
      <c r="A5" s="38" t="s">
        <v>619</v>
      </c>
      <c r="B5" s="38"/>
      <c r="C5" s="62" t="s">
        <v>647</v>
      </c>
      <c r="D5" s="62"/>
      <c r="E5" s="62"/>
      <c r="F5" s="62"/>
      <c r="G5" s="28"/>
    </row>
    <row r="6" spans="1:7" ht="12.75" customHeight="1" x14ac:dyDescent="0.2">
      <c r="A6" s="16" t="s">
        <v>8</v>
      </c>
      <c r="B6" s="16"/>
      <c r="C6" s="62" t="s">
        <v>648</v>
      </c>
      <c r="D6" s="62"/>
      <c r="E6" s="62"/>
      <c r="F6" s="62"/>
    </row>
    <row r="7" spans="1:7" s="15" customFormat="1" ht="12.75" customHeight="1" x14ac:dyDescent="0.2">
      <c r="A7" s="16" t="s">
        <v>633</v>
      </c>
      <c r="B7" s="31" t="s">
        <v>627</v>
      </c>
      <c r="C7" s="61" t="s">
        <v>649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640</v>
      </c>
      <c r="C10" s="48">
        <v>43466</v>
      </c>
      <c r="D10" s="54" t="s">
        <v>643</v>
      </c>
      <c r="E10" s="48">
        <v>43983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1" t="s">
        <v>652</v>
      </c>
      <c r="D14" s="61"/>
      <c r="E14" s="61"/>
      <c r="F14" s="61"/>
    </row>
    <row r="15" spans="1:7" ht="12.75" customHeight="1" x14ac:dyDescent="0.2">
      <c r="B15" s="38" t="s">
        <v>585</v>
      </c>
      <c r="C15" s="61" t="s">
        <v>653</v>
      </c>
      <c r="D15" s="61"/>
      <c r="E15" s="61"/>
      <c r="F15" s="61"/>
    </row>
    <row r="16" spans="1:7" ht="12.75" customHeight="1" x14ac:dyDescent="0.2">
      <c r="B16" s="38" t="s">
        <v>4</v>
      </c>
      <c r="C16" s="61"/>
      <c r="D16" s="61"/>
      <c r="E16" s="61"/>
      <c r="F16" s="61"/>
    </row>
    <row r="17" spans="1:7" ht="12.75" customHeight="1" x14ac:dyDescent="0.2">
      <c r="B17" s="38" t="s">
        <v>5</v>
      </c>
      <c r="C17" s="61" t="s">
        <v>654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655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1</v>
      </c>
    </row>
    <row r="21" spans="1:7" ht="12.75" customHeight="1" x14ac:dyDescent="0.2">
      <c r="A21" s="38" t="s">
        <v>621</v>
      </c>
      <c r="B21" s="38" t="s">
        <v>594</v>
      </c>
      <c r="C21" s="61"/>
      <c r="D21" s="61"/>
      <c r="E21" s="61"/>
      <c r="F21" s="61"/>
    </row>
    <row r="22" spans="1:7" ht="12.75" customHeight="1" x14ac:dyDescent="0.2">
      <c r="B22" s="38" t="s">
        <v>629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600</v>
      </c>
      <c r="D29" s="6"/>
      <c r="E29" s="66" t="s">
        <v>667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1" t="s">
        <v>657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658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659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>
        <v>43441</v>
      </c>
      <c r="D37" s="54" t="s">
        <v>643</v>
      </c>
      <c r="E37" s="64"/>
      <c r="F37" s="64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1"/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660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5" t="s">
        <v>644</v>
      </c>
      <c r="B49" s="65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1"/>
      <c r="F53" s="61"/>
      <c r="G53" s="46">
        <v>2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/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1" t="s">
        <v>666</v>
      </c>
      <c r="D65" s="61"/>
      <c r="E65" s="61"/>
      <c r="F65" s="61"/>
    </row>
    <row r="66" spans="1:7" x14ac:dyDescent="0.2">
      <c r="A66" s="38" t="s">
        <v>17</v>
      </c>
      <c r="C66" s="62" t="s">
        <v>599</v>
      </c>
      <c r="D66" s="62"/>
      <c r="E66" s="62"/>
      <c r="F66" s="62"/>
    </row>
    <row r="67" spans="1:7" ht="3.95" customHeight="1" x14ac:dyDescent="0.2"/>
    <row r="68" spans="1:7" ht="12.6" customHeight="1" x14ac:dyDescent="0.2">
      <c r="A68" s="47" t="s">
        <v>639</v>
      </c>
      <c r="E68" s="63"/>
      <c r="F68" s="63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6300</v>
      </c>
      <c r="D72" s="6"/>
      <c r="E72" s="38" t="s">
        <v>605</v>
      </c>
    </row>
    <row r="73" spans="1:7" ht="13.9" customHeight="1" x14ac:dyDescent="0.2">
      <c r="B73" s="38" t="s">
        <v>13</v>
      </c>
      <c r="C73" s="21"/>
      <c r="D73" s="6"/>
      <c r="E73" s="38" t="s">
        <v>606</v>
      </c>
    </row>
    <row r="74" spans="1:7" x14ac:dyDescent="0.2">
      <c r="B74" s="38" t="s">
        <v>14</v>
      </c>
      <c r="C74" s="21"/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11" priority="4">
      <formula>$G$20=TRUE</formula>
    </cfRule>
  </conditionalFormatting>
  <conditionalFormatting sqref="A21:A22">
    <cfRule type="expression" dxfId="10" priority="3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9925</v>
      </c>
      <c r="D4" s="68"/>
      <c r="E4" s="68"/>
      <c r="F4" s="69"/>
    </row>
    <row r="5" spans="1:7" s="15" customFormat="1" ht="12.75" customHeight="1" x14ac:dyDescent="0.2">
      <c r="A5" s="38" t="s">
        <v>619</v>
      </c>
      <c r="B5" s="38"/>
      <c r="C5" s="62" t="s">
        <v>647</v>
      </c>
      <c r="D5" s="62"/>
      <c r="E5" s="62"/>
      <c r="F5" s="62"/>
      <c r="G5" s="28"/>
    </row>
    <row r="6" spans="1:7" ht="12.75" customHeight="1" x14ac:dyDescent="0.2">
      <c r="A6" s="16" t="s">
        <v>8</v>
      </c>
      <c r="B6" s="16"/>
      <c r="C6" s="62" t="s">
        <v>648</v>
      </c>
      <c r="D6" s="62"/>
      <c r="E6" s="62"/>
      <c r="F6" s="62"/>
    </row>
    <row r="7" spans="1:7" s="15" customFormat="1" ht="12.75" customHeight="1" x14ac:dyDescent="0.2">
      <c r="A7" s="16" t="s">
        <v>633</v>
      </c>
      <c r="B7" s="31" t="s">
        <v>627</v>
      </c>
      <c r="C7" s="61" t="s">
        <v>649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640</v>
      </c>
      <c r="C10" s="48">
        <v>43466</v>
      </c>
      <c r="D10" s="54" t="s">
        <v>643</v>
      </c>
      <c r="E10" s="48">
        <v>43983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1" t="s">
        <v>652</v>
      </c>
      <c r="D14" s="61"/>
      <c r="E14" s="61"/>
      <c r="F14" s="61"/>
    </row>
    <row r="15" spans="1:7" ht="12.75" customHeight="1" x14ac:dyDescent="0.2">
      <c r="B15" s="38" t="s">
        <v>585</v>
      </c>
      <c r="C15" s="61" t="s">
        <v>653</v>
      </c>
      <c r="D15" s="61"/>
      <c r="E15" s="61"/>
      <c r="F15" s="61"/>
    </row>
    <row r="16" spans="1:7" ht="12.75" customHeight="1" x14ac:dyDescent="0.2">
      <c r="B16" s="38" t="s">
        <v>4</v>
      </c>
      <c r="C16" s="61"/>
      <c r="D16" s="61"/>
      <c r="E16" s="61"/>
      <c r="F16" s="61"/>
    </row>
    <row r="17" spans="1:7" ht="12.75" customHeight="1" x14ac:dyDescent="0.2">
      <c r="B17" s="38" t="s">
        <v>5</v>
      </c>
      <c r="C17" s="61" t="s">
        <v>654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655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1</v>
      </c>
    </row>
    <row r="21" spans="1:7" ht="12.75" customHeight="1" x14ac:dyDescent="0.2">
      <c r="A21" s="38" t="s">
        <v>621</v>
      </c>
      <c r="B21" s="38" t="s">
        <v>594</v>
      </c>
      <c r="C21" s="61"/>
      <c r="D21" s="61"/>
      <c r="E21" s="61"/>
      <c r="F21" s="61"/>
    </row>
    <row r="22" spans="1:7" ht="12.75" customHeight="1" x14ac:dyDescent="0.2">
      <c r="B22" s="38" t="s">
        <v>629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700</v>
      </c>
      <c r="D29" s="6"/>
      <c r="E29" s="66" t="s">
        <v>668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1" t="s">
        <v>657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658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659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>
        <v>43441</v>
      </c>
      <c r="D37" s="54" t="s">
        <v>643</v>
      </c>
      <c r="E37" s="64"/>
      <c r="F37" s="64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1"/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660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5" t="s">
        <v>644</v>
      </c>
      <c r="B49" s="65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1"/>
      <c r="F53" s="61"/>
      <c r="G53" s="46">
        <v>2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/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0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1" t="s">
        <v>666</v>
      </c>
      <c r="D65" s="61"/>
      <c r="E65" s="61"/>
      <c r="F65" s="61"/>
    </row>
    <row r="66" spans="1:7" x14ac:dyDescent="0.2">
      <c r="A66" s="38" t="s">
        <v>17</v>
      </c>
      <c r="C66" s="62" t="s">
        <v>599</v>
      </c>
      <c r="D66" s="62"/>
      <c r="E66" s="62"/>
      <c r="F66" s="62"/>
    </row>
    <row r="67" spans="1:7" ht="3.95" customHeight="1" x14ac:dyDescent="0.2"/>
    <row r="68" spans="1:7" ht="12.6" customHeight="1" x14ac:dyDescent="0.2">
      <c r="A68" s="47" t="s">
        <v>639</v>
      </c>
      <c r="E68" s="63"/>
      <c r="F68" s="63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3200</v>
      </c>
      <c r="D72" s="6"/>
      <c r="E72" s="38" t="s">
        <v>605</v>
      </c>
    </row>
    <row r="73" spans="1:7" ht="13.9" customHeight="1" x14ac:dyDescent="0.2">
      <c r="B73" s="38" t="s">
        <v>13</v>
      </c>
      <c r="C73" s="21"/>
      <c r="D73" s="6"/>
      <c r="E73" s="38" t="s">
        <v>606</v>
      </c>
    </row>
    <row r="74" spans="1:7" x14ac:dyDescent="0.2">
      <c r="B74" s="38" t="s">
        <v>14</v>
      </c>
      <c r="C74" s="21"/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0"/>
  <sheetViews>
    <sheetView showGridLines="0" tabSelected="1" zoomScale="115" zoomScaleNormal="115" workbookViewId="0">
      <selection activeCell="C4" sqref="C4:F4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638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9925</v>
      </c>
      <c r="D4" s="68"/>
      <c r="E4" s="68"/>
      <c r="F4" s="69"/>
    </row>
    <row r="5" spans="1:7" s="15" customFormat="1" ht="12.75" customHeight="1" x14ac:dyDescent="0.2">
      <c r="A5" s="10" t="s">
        <v>619</v>
      </c>
      <c r="B5" s="10"/>
      <c r="C5" s="62" t="s">
        <v>647</v>
      </c>
      <c r="D5" s="62"/>
      <c r="E5" s="62"/>
      <c r="F5" s="62"/>
      <c r="G5" s="28"/>
    </row>
    <row r="6" spans="1:7" ht="12.75" customHeight="1" x14ac:dyDescent="0.2">
      <c r="A6" s="16" t="s">
        <v>8</v>
      </c>
      <c r="B6" s="16"/>
      <c r="C6" s="62" t="s">
        <v>648</v>
      </c>
      <c r="D6" s="62"/>
      <c r="E6" s="62"/>
      <c r="F6" s="62"/>
    </row>
    <row r="7" spans="1:7" s="15" customFormat="1" ht="12.75" customHeight="1" x14ac:dyDescent="0.2">
      <c r="A7" s="16" t="s">
        <v>633</v>
      </c>
      <c r="B7" s="31" t="s">
        <v>627</v>
      </c>
      <c r="C7" s="61" t="s">
        <v>649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640</v>
      </c>
      <c r="C10" s="48">
        <v>43466</v>
      </c>
      <c r="D10" s="54" t="s">
        <v>643</v>
      </c>
      <c r="E10" s="48">
        <v>43983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10" t="s">
        <v>584</v>
      </c>
      <c r="B14" s="10" t="s">
        <v>594</v>
      </c>
      <c r="C14" s="61" t="s">
        <v>652</v>
      </c>
      <c r="D14" s="61"/>
      <c r="E14" s="61"/>
      <c r="F14" s="61"/>
    </row>
    <row r="15" spans="1:7" ht="12.75" customHeight="1" x14ac:dyDescent="0.2">
      <c r="B15" s="10" t="s">
        <v>585</v>
      </c>
      <c r="C15" s="61" t="s">
        <v>653</v>
      </c>
      <c r="D15" s="61"/>
      <c r="E15" s="61"/>
      <c r="F15" s="61"/>
    </row>
    <row r="16" spans="1:7" ht="12.75" customHeight="1" x14ac:dyDescent="0.2">
      <c r="B16" s="10" t="s">
        <v>4</v>
      </c>
      <c r="C16" s="61"/>
      <c r="D16" s="61"/>
      <c r="E16" s="61"/>
      <c r="F16" s="61"/>
    </row>
    <row r="17" spans="1:7" ht="12.75" customHeight="1" x14ac:dyDescent="0.2">
      <c r="B17" s="10" t="s">
        <v>5</v>
      </c>
      <c r="C17" s="61" t="s">
        <v>654</v>
      </c>
      <c r="D17" s="61"/>
      <c r="E17" s="61"/>
      <c r="F17" s="61"/>
    </row>
    <row r="18" spans="1:7" ht="12.75" customHeight="1" x14ac:dyDescent="0.2">
      <c r="B18" s="10" t="s">
        <v>6</v>
      </c>
      <c r="C18" s="61" t="s">
        <v>655</v>
      </c>
      <c r="D18" s="61"/>
      <c r="E18" s="61"/>
      <c r="F18" s="61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628</v>
      </c>
      <c r="G20" s="20" t="b">
        <v>1</v>
      </c>
    </row>
    <row r="21" spans="1:7" ht="12.75" customHeight="1" x14ac:dyDescent="0.25">
      <c r="A21" s="10" t="s">
        <v>621</v>
      </c>
      <c r="B21" s="10" t="s">
        <v>594</v>
      </c>
      <c r="C21" s="61"/>
      <c r="D21" s="61"/>
      <c r="E21" s="61"/>
      <c r="F21" s="61"/>
    </row>
    <row r="22" spans="1:7" ht="12.75" customHeight="1" x14ac:dyDescent="0.25">
      <c r="B22" s="10" t="s">
        <v>629</v>
      </c>
      <c r="C22" s="61"/>
      <c r="D22" s="61"/>
      <c r="E22" s="61"/>
      <c r="F22" s="61"/>
    </row>
    <row r="23" spans="1:7" ht="12.75" customHeight="1" x14ac:dyDescent="0.25">
      <c r="B23" s="10" t="s">
        <v>4</v>
      </c>
      <c r="C23" s="61"/>
      <c r="D23" s="61"/>
      <c r="E23" s="61"/>
      <c r="F23" s="61"/>
    </row>
    <row r="24" spans="1:7" ht="12.75" customHeight="1" x14ac:dyDescent="0.25">
      <c r="B24" s="10" t="s">
        <v>5</v>
      </c>
      <c r="C24" s="61"/>
      <c r="D24" s="61"/>
      <c r="E24" s="61"/>
      <c r="F24" s="61"/>
    </row>
    <row r="25" spans="1:7" ht="12.75" customHeight="1" x14ac:dyDescent="0.25">
      <c r="B25" s="10" t="s">
        <v>6</v>
      </c>
      <c r="C25" s="61"/>
      <c r="D25" s="61"/>
      <c r="E25" s="61"/>
      <c r="F25" s="61"/>
    </row>
    <row r="26" spans="1:7" s="38" customFormat="1" ht="3.95" customHeight="1" x14ac:dyDescent="0.25">
      <c r="C26" s="42"/>
      <c r="D26" s="42"/>
      <c r="E26" s="42"/>
      <c r="G26" s="44"/>
    </row>
    <row r="27" spans="1:7" s="41" customFormat="1" ht="15" customHeight="1" x14ac:dyDescent="0.3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5">
      <c r="G28" s="46"/>
    </row>
    <row r="29" spans="1:7" ht="12.75" customHeight="1" x14ac:dyDescent="0.3">
      <c r="A29" s="17" t="s">
        <v>608</v>
      </c>
      <c r="B29" s="17"/>
      <c r="C29" s="60">
        <v>999</v>
      </c>
      <c r="D29"/>
      <c r="E29" s="66" t="s">
        <v>669</v>
      </c>
      <c r="F29" s="66"/>
    </row>
    <row r="30" spans="1:7" s="19" customFormat="1" ht="3.95" customHeight="1" x14ac:dyDescent="0.25">
      <c r="D30" s="43"/>
      <c r="E30" s="43"/>
      <c r="G30" s="29"/>
    </row>
    <row r="31" spans="1:7" ht="12.75" customHeight="1" x14ac:dyDescent="0.2">
      <c r="A31" s="10" t="s">
        <v>620</v>
      </c>
      <c r="C31" s="61" t="s">
        <v>657</v>
      </c>
      <c r="D31" s="61"/>
      <c r="E31" s="61"/>
      <c r="F31" s="61"/>
    </row>
    <row r="32" spans="1:7" s="36" customFormat="1" ht="3.95" customHeight="1" x14ac:dyDescent="0.25">
      <c r="D32" s="43"/>
      <c r="E32" s="43"/>
      <c r="G32" s="37"/>
    </row>
    <row r="33" spans="1:7" ht="12.75" customHeight="1" x14ac:dyDescent="0.2">
      <c r="A33" s="10" t="s">
        <v>10</v>
      </c>
      <c r="C33" s="61" t="s">
        <v>658</v>
      </c>
      <c r="D33" s="61"/>
      <c r="E33" s="61"/>
      <c r="F33" s="61"/>
    </row>
    <row r="34" spans="1:7" s="19" customFormat="1" ht="3.95" customHeight="1" x14ac:dyDescent="0.25">
      <c r="D34" s="43"/>
      <c r="E34" s="43"/>
      <c r="G34" s="29"/>
    </row>
    <row r="35" spans="1:7" ht="12.75" customHeight="1" x14ac:dyDescent="0.2">
      <c r="A35" s="10" t="s">
        <v>11</v>
      </c>
      <c r="C35" s="61" t="s">
        <v>659</v>
      </c>
      <c r="D35" s="61"/>
      <c r="E35" s="61"/>
      <c r="F35" s="61"/>
    </row>
    <row r="36" spans="1:7" ht="3.95" customHeight="1" x14ac:dyDescent="0.25"/>
    <row r="37" spans="1:7" s="19" customFormat="1" ht="12.75" customHeight="1" x14ac:dyDescent="0.25">
      <c r="A37" s="35" t="s">
        <v>642</v>
      </c>
      <c r="B37" s="10"/>
      <c r="C37" s="48">
        <v>43441</v>
      </c>
      <c r="D37" s="54" t="s">
        <v>643</v>
      </c>
      <c r="E37" s="64"/>
      <c r="F37" s="64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637</v>
      </c>
      <c r="C39" s="61"/>
      <c r="D39" s="61"/>
      <c r="E39" s="61"/>
      <c r="F39" s="61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632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 t="s">
        <v>660</v>
      </c>
      <c r="G45" s="20" t="b">
        <v>0</v>
      </c>
    </row>
    <row r="46" spans="1:7" s="38" customFormat="1" ht="3.95" customHeight="1" x14ac:dyDescent="0.2">
      <c r="C46" s="42"/>
      <c r="D46" s="42"/>
      <c r="E46" s="42"/>
      <c r="G46" s="44"/>
    </row>
    <row r="47" spans="1:7" ht="12.75" customHeight="1" x14ac:dyDescent="0.2">
      <c r="A47" s="10" t="s">
        <v>597</v>
      </c>
      <c r="F47" s="50"/>
      <c r="G47" s="20" t="b">
        <v>1</v>
      </c>
    </row>
    <row r="48" spans="1:7" s="38" customFormat="1" ht="3.95" customHeight="1" x14ac:dyDescent="0.2">
      <c r="C48" s="42"/>
      <c r="D48" s="42"/>
      <c r="E48" s="42"/>
      <c r="G48" s="44"/>
    </row>
    <row r="49" spans="1:7" ht="24" customHeight="1" x14ac:dyDescent="0.2">
      <c r="A49" s="65" t="s">
        <v>644</v>
      </c>
      <c r="B49" s="65"/>
      <c r="G49" s="20">
        <v>10</v>
      </c>
    </row>
    <row r="50" spans="1:7" s="38" customFormat="1" ht="3.95" customHeight="1" x14ac:dyDescent="0.2">
      <c r="C50" s="42"/>
      <c r="D50" s="42"/>
      <c r="E50" s="42"/>
      <c r="G50" s="44"/>
    </row>
    <row r="51" spans="1:7" ht="12.75" customHeight="1" x14ac:dyDescent="0.2">
      <c r="A51" s="10" t="s">
        <v>631</v>
      </c>
      <c r="C51" s="10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19" customFormat="1" ht="12.75" customHeight="1" x14ac:dyDescent="0.2">
      <c r="A53" s="10" t="s">
        <v>2</v>
      </c>
      <c r="E53" s="61"/>
      <c r="F53" s="61"/>
      <c r="G53" s="29">
        <v>2</v>
      </c>
    </row>
    <row r="54" spans="1:7" s="19" customFormat="1" ht="3.95" customHeight="1" x14ac:dyDescent="0.2">
      <c r="D54" s="43"/>
      <c r="E54" s="43"/>
      <c r="G54" s="29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10" t="s">
        <v>596</v>
      </c>
      <c r="C57" s="59"/>
      <c r="D57"/>
      <c r="E57"/>
    </row>
    <row r="58" spans="1:7" s="38" customFormat="1" ht="3.95" customHeight="1" x14ac:dyDescent="0.2">
      <c r="C58" s="42"/>
      <c r="D58" s="42"/>
      <c r="E58" s="42"/>
      <c r="G58" s="44"/>
    </row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s="38" customFormat="1" ht="3.95" customHeight="1" x14ac:dyDescent="0.2">
      <c r="C60" s="42"/>
      <c r="D60" s="42"/>
      <c r="E60" s="42"/>
      <c r="G60" s="44"/>
    </row>
    <row r="61" spans="1:7" s="38" customFormat="1" x14ac:dyDescent="0.2">
      <c r="A61" s="38" t="s">
        <v>15</v>
      </c>
      <c r="G61" s="44">
        <v>2</v>
      </c>
    </row>
    <row r="62" spans="1:7" s="38" customFormat="1" ht="3.95" customHeight="1" x14ac:dyDescent="0.2">
      <c r="C62" s="42"/>
      <c r="D62" s="42"/>
      <c r="E62" s="42"/>
      <c r="G62" s="44"/>
    </row>
    <row r="63" spans="1:7" x14ac:dyDescent="0.2">
      <c r="A63" s="10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10" t="s">
        <v>16</v>
      </c>
      <c r="C65" s="61"/>
      <c r="D65" s="61"/>
      <c r="E65" s="61"/>
      <c r="F65" s="61"/>
    </row>
    <row r="66" spans="1:7" x14ac:dyDescent="0.2">
      <c r="A66" s="10" t="s">
        <v>17</v>
      </c>
      <c r="C66" s="62" t="s">
        <v>599</v>
      </c>
      <c r="D66" s="62"/>
      <c r="E66" s="62"/>
      <c r="F66" s="62"/>
    </row>
    <row r="67" spans="1:7" s="38" customFormat="1" ht="3.95" customHeight="1" x14ac:dyDescent="0.2">
      <c r="C67" s="42"/>
      <c r="D67" s="42"/>
      <c r="E67" s="42"/>
      <c r="G67" s="44"/>
    </row>
    <row r="68" spans="1:7" ht="12.6" customHeight="1" x14ac:dyDescent="0.2">
      <c r="A68" s="47" t="s">
        <v>639</v>
      </c>
      <c r="C68" s="42"/>
      <c r="E68" s="63"/>
      <c r="F68" s="63"/>
      <c r="G68" s="20">
        <v>1</v>
      </c>
    </row>
    <row r="69" spans="1:7" s="38" customFormat="1" x14ac:dyDescent="0.2">
      <c r="C69" s="42"/>
      <c r="D69" s="42"/>
      <c r="E69" s="42"/>
      <c r="G69" s="44"/>
    </row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s="38" customFormat="1" ht="3.95" customHeight="1" x14ac:dyDescent="0.2">
      <c r="C71" s="42"/>
      <c r="D71" s="42"/>
      <c r="E71" s="42"/>
      <c r="G71" s="44"/>
    </row>
    <row r="72" spans="1:7" x14ac:dyDescent="0.2">
      <c r="A72" s="10" t="s">
        <v>598</v>
      </c>
      <c r="B72" s="10" t="s">
        <v>12</v>
      </c>
      <c r="C72" s="21"/>
      <c r="D72"/>
      <c r="E72" s="10" t="s">
        <v>605</v>
      </c>
    </row>
    <row r="73" spans="1:7" ht="13.9" customHeight="1" x14ac:dyDescent="0.2">
      <c r="B73" s="10" t="s">
        <v>13</v>
      </c>
      <c r="C73" s="21">
        <v>697</v>
      </c>
      <c r="D73"/>
      <c r="E73" s="10" t="s">
        <v>606</v>
      </c>
    </row>
    <row r="74" spans="1:7" x14ac:dyDescent="0.2">
      <c r="B74" s="10" t="s">
        <v>14</v>
      </c>
      <c r="C74" s="21"/>
      <c r="D74"/>
      <c r="E74" s="10" t="s">
        <v>605</v>
      </c>
    </row>
    <row r="75" spans="1:7" s="19" customFormat="1" ht="3.95" customHeight="1" x14ac:dyDescent="0.2">
      <c r="D75" s="43"/>
      <c r="E75" s="43"/>
      <c r="G75" s="29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>9925999</v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>TBA BS, Kanalisation Zürcherstrasse, Nebenkosten nicht verrechenbar</v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A49:B49"/>
    <mergeCell ref="E53:F53"/>
    <mergeCell ref="E68:F68"/>
    <mergeCell ref="C7:F7"/>
    <mergeCell ref="E29:F29"/>
    <mergeCell ref="C16:F16"/>
    <mergeCell ref="C18:F18"/>
    <mergeCell ref="C22:F22"/>
    <mergeCell ref="C21:F21"/>
    <mergeCell ref="C23:F23"/>
    <mergeCell ref="C65:F65"/>
    <mergeCell ref="C66:F66"/>
    <mergeCell ref="C24:F24"/>
    <mergeCell ref="C33:F33"/>
    <mergeCell ref="C31:F31"/>
    <mergeCell ref="C35:F35"/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</mergeCells>
  <conditionalFormatting sqref="B21:F25">
    <cfRule type="expression" dxfId="3" priority="8">
      <formula>$G$20=TRUE</formula>
    </cfRule>
  </conditionalFormatting>
  <conditionalFormatting sqref="A21:A22">
    <cfRule type="expression" dxfId="2" priority="4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595</v>
      </c>
    </row>
    <row r="2" spans="1:3" ht="12.6" x14ac:dyDescent="0.25">
      <c r="A2" t="str">
        <f>B2&amp;C2</f>
        <v>CH.SCHWEIZ</v>
      </c>
      <c r="B2" t="s">
        <v>234</v>
      </c>
      <c r="C2" t="s">
        <v>235</v>
      </c>
    </row>
    <row r="3" spans="1:3" ht="12.6" x14ac:dyDescent="0.25">
      <c r="A3" t="str">
        <f t="shared" ref="A3:A21" si="0">B3&amp;C3</f>
        <v>CH.01.Kanton BS</v>
      </c>
      <c r="B3" t="s">
        <v>236</v>
      </c>
      <c r="C3" t="s">
        <v>237</v>
      </c>
    </row>
    <row r="4" spans="1:3" ht="12.6" x14ac:dyDescent="0.25">
      <c r="A4" t="str">
        <f t="shared" si="0"/>
        <v>CH.02.Kanton BL</v>
      </c>
      <c r="B4" t="s">
        <v>238</v>
      </c>
      <c r="C4" t="s">
        <v>239</v>
      </c>
    </row>
    <row r="5" spans="1:3" ht="12.6" x14ac:dyDescent="0.25">
      <c r="A5" t="str">
        <f t="shared" si="0"/>
        <v>CH.03.Kanton AG</v>
      </c>
      <c r="B5" t="s">
        <v>240</v>
      </c>
      <c r="C5" t="s">
        <v>241</v>
      </c>
    </row>
    <row r="6" spans="1:3" ht="12.6" x14ac:dyDescent="0.25">
      <c r="A6" t="str">
        <f t="shared" si="0"/>
        <v>CH.04.Kanton ZH</v>
      </c>
      <c r="B6" t="s">
        <v>242</v>
      </c>
      <c r="C6" t="s">
        <v>243</v>
      </c>
    </row>
    <row r="7" spans="1:3" ht="12.6" x14ac:dyDescent="0.25">
      <c r="A7" t="str">
        <f t="shared" si="0"/>
        <v>CH.05.Kanton SO</v>
      </c>
      <c r="B7" t="s">
        <v>244</v>
      </c>
      <c r="C7" t="s">
        <v>245</v>
      </c>
    </row>
    <row r="8" spans="1:3" ht="12.6" x14ac:dyDescent="0.25">
      <c r="A8" t="str">
        <f t="shared" si="0"/>
        <v>CH.06.Kanton LU</v>
      </c>
      <c r="B8" t="s">
        <v>246</v>
      </c>
      <c r="C8" t="s">
        <v>247</v>
      </c>
    </row>
    <row r="9" spans="1:3" ht="12.6" x14ac:dyDescent="0.25">
      <c r="A9" t="str">
        <f t="shared" si="0"/>
        <v>CH.07.Kanton BE</v>
      </c>
      <c r="B9" t="s">
        <v>248</v>
      </c>
      <c r="C9" t="s">
        <v>249</v>
      </c>
    </row>
    <row r="10" spans="1:3" ht="12.6" x14ac:dyDescent="0.25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ht="12.6" x14ac:dyDescent="0.25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ht="12.6" x14ac:dyDescent="0.25">
      <c r="A14" t="str">
        <f t="shared" si="0"/>
        <v>D.02.Landkreis Freiburg</v>
      </c>
      <c r="B14" t="s">
        <v>258</v>
      </c>
      <c r="C14" t="s">
        <v>259</v>
      </c>
    </row>
    <row r="15" spans="1:3" ht="12.6" x14ac:dyDescent="0.25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ht="12.6" x14ac:dyDescent="0.25">
      <c r="A17" t="str">
        <f t="shared" si="0"/>
        <v>F.FRANKREICH</v>
      </c>
      <c r="B17" t="s">
        <v>264</v>
      </c>
      <c r="C17" t="s">
        <v>265</v>
      </c>
    </row>
    <row r="18" spans="1:3" ht="12.6" x14ac:dyDescent="0.25">
      <c r="A18" t="str">
        <f t="shared" si="0"/>
        <v>F.01.Dep. Bas Rhin</v>
      </c>
      <c r="B18" t="s">
        <v>266</v>
      </c>
      <c r="C18" t="s">
        <v>267</v>
      </c>
    </row>
    <row r="19" spans="1:3" ht="12.6" x14ac:dyDescent="0.25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4"/>
  <sheetViews>
    <sheetView workbookViewId="0">
      <selection activeCell="C4" sqref="C4:D4"/>
    </sheetView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595</v>
      </c>
    </row>
    <row r="2" spans="1:4" ht="12.6" x14ac:dyDescent="0.25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ht="12.6" x14ac:dyDescent="0.25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ht="12.6" x14ac:dyDescent="0.25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ht="12.6" x14ac:dyDescent="0.25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ht="12.6" x14ac:dyDescent="0.25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ht="12.6" x14ac:dyDescent="0.25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ht="12.6" x14ac:dyDescent="0.25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ht="12.6" x14ac:dyDescent="0.25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ht="12.6" x14ac:dyDescent="0.25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ht="12.6" x14ac:dyDescent="0.25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ht="12.6" x14ac:dyDescent="0.25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ht="12.6" x14ac:dyDescent="0.25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ht="12.6" x14ac:dyDescent="0.25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ht="12.6" x14ac:dyDescent="0.25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ht="12.6" x14ac:dyDescent="0.25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ht="12.6" x14ac:dyDescent="0.25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ht="12.6" x14ac:dyDescent="0.25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ht="12.6" x14ac:dyDescent="0.25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ht="12.6" x14ac:dyDescent="0.25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ht="12.6" x14ac:dyDescent="0.25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ht="12.6" x14ac:dyDescent="0.25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ht="12.6" x14ac:dyDescent="0.25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ht="12.6" x14ac:dyDescent="0.25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ht="12.6" x14ac:dyDescent="0.25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ht="12.6" x14ac:dyDescent="0.25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ht="12.6" x14ac:dyDescent="0.25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4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x14ac:dyDescent="0.2">
      <c r="A92" t="str">
        <f t="shared" si="2"/>
        <v>5.8.7. Verwaltung HDI</v>
      </c>
      <c r="B92" s="1" t="s">
        <v>227</v>
      </c>
      <c r="C92" t="s">
        <v>228</v>
      </c>
      <c r="D92" t="s">
        <v>228</v>
      </c>
    </row>
    <row r="93" spans="1:4" x14ac:dyDescent="0.2">
      <c r="A93" t="str">
        <f t="shared" si="2"/>
        <v>5.8.8. Liegenschaftsbuchhaltung PVS UIAG</v>
      </c>
      <c r="B93" s="1" t="s">
        <v>229</v>
      </c>
      <c r="C93" t="s">
        <v>230</v>
      </c>
      <c r="D93" t="s">
        <v>231</v>
      </c>
    </row>
    <row r="94" spans="1:4" x14ac:dyDescent="0.2">
      <c r="A94" t="str">
        <f t="shared" si="2"/>
        <v>5.8.9. Übrige weitere Dienstleistungen</v>
      </c>
      <c r="B94" s="1" t="s">
        <v>232</v>
      </c>
      <c r="C94" t="s">
        <v>67</v>
      </c>
      <c r="D94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595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ht="12.6" x14ac:dyDescent="0.25">
      <c r="A3" t="str">
        <f t="shared" ref="A3:A66" si="0">B3&amp;" "&amp;C3</f>
        <v>1.1. ASTRA</v>
      </c>
      <c r="B3" s="1" t="s">
        <v>20</v>
      </c>
      <c r="C3" t="s">
        <v>275</v>
      </c>
    </row>
    <row r="4" spans="1:3" ht="12.6" x14ac:dyDescent="0.25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ht="12.6" x14ac:dyDescent="0.25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ht="12.6" x14ac:dyDescent="0.25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ht="12.6" x14ac:dyDescent="0.25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ht="12.6" x14ac:dyDescent="0.25">
      <c r="A17" t="str">
        <f t="shared" si="0"/>
        <v>3 GEMEINDEN</v>
      </c>
      <c r="B17" s="1">
        <v>3</v>
      </c>
      <c r="C17" t="s">
        <v>299</v>
      </c>
    </row>
    <row r="18" spans="1:3" ht="12.6" x14ac:dyDescent="0.25">
      <c r="A18" t="str">
        <f t="shared" si="0"/>
        <v>3.0 KANTON BS</v>
      </c>
      <c r="B18" s="2" t="s">
        <v>300</v>
      </c>
      <c r="C18" t="s">
        <v>301</v>
      </c>
    </row>
    <row r="19" spans="1:3" ht="12.6" x14ac:dyDescent="0.25">
      <c r="A19" t="str">
        <f t="shared" si="0"/>
        <v>3.0.1. Basel</v>
      </c>
      <c r="B19" s="1" t="s">
        <v>302</v>
      </c>
      <c r="C19" t="s">
        <v>303</v>
      </c>
    </row>
    <row r="20" spans="1:3" ht="12.6" x14ac:dyDescent="0.25">
      <c r="A20" t="str">
        <f t="shared" si="0"/>
        <v>3.0.2. Bettingen</v>
      </c>
      <c r="B20" s="1" t="s">
        <v>304</v>
      </c>
      <c r="C20" t="s">
        <v>305</v>
      </c>
    </row>
    <row r="21" spans="1:3" ht="12.6" x14ac:dyDescent="0.25">
      <c r="A21" t="str">
        <f t="shared" si="0"/>
        <v>3.0.3. Riehen</v>
      </c>
      <c r="B21" s="1" t="s">
        <v>306</v>
      </c>
      <c r="C21" t="s">
        <v>307</v>
      </c>
    </row>
    <row r="22" spans="1:3" ht="12.6" x14ac:dyDescent="0.25">
      <c r="A22" t="str">
        <f t="shared" si="0"/>
        <v>3.1. KANTON BL</v>
      </c>
      <c r="B22" s="1" t="s">
        <v>71</v>
      </c>
      <c r="C22" t="s">
        <v>308</v>
      </c>
    </row>
    <row r="23" spans="1:3" ht="12.6" x14ac:dyDescent="0.25">
      <c r="A23" t="str">
        <f t="shared" si="0"/>
        <v>3.1.01. Aesch</v>
      </c>
      <c r="B23" s="1" t="s">
        <v>309</v>
      </c>
      <c r="C23" t="s">
        <v>310</v>
      </c>
    </row>
    <row r="24" spans="1:3" ht="12.6" x14ac:dyDescent="0.25">
      <c r="A24" t="str">
        <f t="shared" si="0"/>
        <v>3.1.02. Binningen</v>
      </c>
      <c r="B24" s="1" t="s">
        <v>311</v>
      </c>
      <c r="C24" t="s">
        <v>312</v>
      </c>
    </row>
    <row r="25" spans="1:3" ht="12.6" x14ac:dyDescent="0.25">
      <c r="A25" t="str">
        <f t="shared" si="0"/>
        <v>3.1.03. Birsfelden</v>
      </c>
      <c r="B25" s="1" t="s">
        <v>313</v>
      </c>
      <c r="C25" t="s">
        <v>314</v>
      </c>
    </row>
    <row r="26" spans="1:3" ht="12.6" x14ac:dyDescent="0.25">
      <c r="A26" t="str">
        <f t="shared" si="0"/>
        <v>3.1.04. Duggingen</v>
      </c>
      <c r="B26" s="1" t="s">
        <v>315</v>
      </c>
      <c r="C26" t="s">
        <v>316</v>
      </c>
    </row>
    <row r="27" spans="1:3" ht="12.6" x14ac:dyDescent="0.25">
      <c r="A27" t="str">
        <f t="shared" si="0"/>
        <v>3.1.05. Nusshof</v>
      </c>
      <c r="B27" s="1" t="s">
        <v>317</v>
      </c>
      <c r="C27" t="s">
        <v>318</v>
      </c>
    </row>
    <row r="28" spans="1:3" ht="12.6" x14ac:dyDescent="0.25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ht="12.6" x14ac:dyDescent="0.25">
      <c r="A30" t="str">
        <f t="shared" si="0"/>
        <v>3.2. KANTON AG</v>
      </c>
      <c r="B30" s="1" t="s">
        <v>74</v>
      </c>
      <c r="C30" t="s">
        <v>323</v>
      </c>
    </row>
    <row r="31" spans="1:3" ht="12.6" x14ac:dyDescent="0.25">
      <c r="A31" t="str">
        <f t="shared" si="0"/>
        <v>3.2.01. Hellikon</v>
      </c>
      <c r="B31" s="1" t="s">
        <v>324</v>
      </c>
      <c r="C31" t="s">
        <v>325</v>
      </c>
    </row>
    <row r="32" spans="1:3" ht="12.6" x14ac:dyDescent="0.25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ht="12.6" x14ac:dyDescent="0.25">
      <c r="A34" t="str">
        <f t="shared" si="0"/>
        <v>3.2.04. Mumpf</v>
      </c>
      <c r="B34" s="1" t="s">
        <v>330</v>
      </c>
      <c r="C34" t="s">
        <v>331</v>
      </c>
    </row>
    <row r="35" spans="1:3" ht="12.6" x14ac:dyDescent="0.25">
      <c r="A35" t="str">
        <f t="shared" si="0"/>
        <v>3.2.05. Olsberg</v>
      </c>
      <c r="B35" s="1" t="s">
        <v>332</v>
      </c>
      <c r="C35" t="s">
        <v>333</v>
      </c>
    </row>
    <row r="36" spans="1:3" ht="12.6" x14ac:dyDescent="0.25">
      <c r="A36" t="str">
        <f t="shared" si="0"/>
        <v>3.2.06. Rheinfelden</v>
      </c>
      <c r="B36" s="1" t="s">
        <v>334</v>
      </c>
      <c r="C36" t="s">
        <v>335</v>
      </c>
    </row>
    <row r="37" spans="1:3" ht="12.6" x14ac:dyDescent="0.25">
      <c r="A37" t="str">
        <f t="shared" si="0"/>
        <v>3.2.07. Wegenstetten</v>
      </c>
      <c r="B37" s="1" t="s">
        <v>336</v>
      </c>
      <c r="C37" t="s">
        <v>337</v>
      </c>
    </row>
    <row r="38" spans="1:3" ht="12.6" x14ac:dyDescent="0.25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595</v>
      </c>
    </row>
    <row r="2" spans="1:3" ht="12.6" x14ac:dyDescent="0.25">
      <c r="A2" s="3" t="str">
        <f t="shared" ref="A2:A8" si="0">CONCATENATE(B2," ",C2)</f>
        <v>A.B.BH. Bautenerhalt und Geomatik</v>
      </c>
      <c r="B2" s="4" t="s">
        <v>586</v>
      </c>
      <c r="C2" s="4" t="s">
        <v>622</v>
      </c>
    </row>
    <row r="3" spans="1:3" ht="12.6" x14ac:dyDescent="0.25">
      <c r="A3" s="3" t="str">
        <f t="shared" si="0"/>
        <v>A.B.IBB. Ingenieurbau und Bahnbau</v>
      </c>
      <c r="B3" s="4" t="s">
        <v>630</v>
      </c>
      <c r="C3" s="4" t="s">
        <v>623</v>
      </c>
    </row>
    <row r="4" spans="1:3" ht="12.6" x14ac:dyDescent="0.25">
      <c r="A4" s="3" t="str">
        <f t="shared" si="0"/>
        <v>A.B.PM. Projektmanagement und Generalplanung</v>
      </c>
      <c r="B4" s="4" t="s">
        <v>587</v>
      </c>
      <c r="C4" s="4" t="s">
        <v>624</v>
      </c>
    </row>
    <row r="5" spans="1:3" x14ac:dyDescent="0.2">
      <c r="A5" s="3" t="str">
        <f t="shared" si="0"/>
        <v>A.B.T2AG. Niederlassung Möhlin</v>
      </c>
      <c r="B5" s="4" t="s">
        <v>588</v>
      </c>
      <c r="C5" s="4" t="s">
        <v>625</v>
      </c>
    </row>
    <row r="6" spans="1:3" ht="12.6" x14ac:dyDescent="0.25">
      <c r="A6" s="3" t="str">
        <f t="shared" si="0"/>
        <v>A.B.TB. Tiefbau</v>
      </c>
      <c r="B6" s="4" t="s">
        <v>589</v>
      </c>
      <c r="C6" s="4" t="s">
        <v>590</v>
      </c>
    </row>
    <row r="7" spans="1:3" ht="12.6" x14ac:dyDescent="0.25">
      <c r="A7" s="3" t="str">
        <f t="shared" si="0"/>
        <v>A.B.VK. Verkehr und Umwelt</v>
      </c>
      <c r="B7" s="4" t="s">
        <v>591</v>
      </c>
      <c r="C7" s="4" t="s">
        <v>626</v>
      </c>
    </row>
    <row r="8" spans="1:3" ht="12.6" x14ac:dyDescent="0.25">
      <c r="A8" s="3" t="str">
        <f t="shared" si="0"/>
        <v>A.B.ZD. Zentrale Dienste</v>
      </c>
      <c r="B8" s="4" t="s">
        <v>592</v>
      </c>
      <c r="C8" s="4" t="s">
        <v>593</v>
      </c>
    </row>
    <row r="9" spans="1:3" ht="12.6" x14ac:dyDescent="0.25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595</v>
      </c>
    </row>
    <row r="2" spans="1:1" ht="12.6" x14ac:dyDescent="0.25">
      <c r="A2" t="s">
        <v>599</v>
      </c>
    </row>
    <row r="3" spans="1:1" ht="12.6" x14ac:dyDescent="0.25">
      <c r="A3" t="s">
        <v>609</v>
      </c>
    </row>
    <row r="4" spans="1:1" ht="12.6" x14ac:dyDescent="0.25">
      <c r="A4" t="s">
        <v>610</v>
      </c>
    </row>
    <row r="5" spans="1:1" ht="12.6" x14ac:dyDescent="0.25">
      <c r="A5" t="s">
        <v>600</v>
      </c>
    </row>
    <row r="6" spans="1:1" ht="12.6" x14ac:dyDescent="0.25">
      <c r="A6" t="s">
        <v>601</v>
      </c>
    </row>
    <row r="7" spans="1:1" ht="12.6" x14ac:dyDescent="0.25">
      <c r="A7" t="s">
        <v>602</v>
      </c>
    </row>
    <row r="8" spans="1:1" ht="12.6" x14ac:dyDescent="0.25">
      <c r="A8" t="s">
        <v>603</v>
      </c>
    </row>
    <row r="9" spans="1:1" s="6" customFormat="1" x14ac:dyDescent="0.2">
      <c r="A9" s="6" t="s">
        <v>611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595</v>
      </c>
    </row>
    <row r="2" spans="1:1" ht="12.6" x14ac:dyDescent="0.25">
      <c r="A2" t="s">
        <v>613</v>
      </c>
    </row>
    <row r="3" spans="1:1" ht="12.6" x14ac:dyDescent="0.25">
      <c r="A3" t="s">
        <v>614</v>
      </c>
    </row>
    <row r="4" spans="1:1" ht="12.6" x14ac:dyDescent="0.25">
      <c r="A4" t="s">
        <v>615</v>
      </c>
    </row>
    <row r="5" spans="1:1" x14ac:dyDescent="0.2">
      <c r="A5" t="s">
        <v>616</v>
      </c>
    </row>
    <row r="6" spans="1:1" x14ac:dyDescent="0.2">
      <c r="A6" t="s">
        <v>617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15</vt:i4>
      </vt:variant>
    </vt:vector>
  </HeadingPairs>
  <TitlesOfParts>
    <vt:vector size="29" baseType="lpstr">
      <vt:lpstr>.Index100</vt:lpstr>
      <vt:lpstr>.Index200</vt:lpstr>
      <vt:lpstr>.Index300</vt:lpstr>
      <vt:lpstr>.Index400</vt:lpstr>
      <vt:lpstr>.Index500</vt:lpstr>
      <vt:lpstr>.Index600</vt:lpstr>
      <vt:lpstr>.Index700</vt:lpstr>
      <vt:lpstr>.Index999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'.Index100'!Druckbereich</vt:lpstr>
      <vt:lpstr>'.Index200'!Druckbereich</vt:lpstr>
      <vt:lpstr>'.Index300'!Druckbereich</vt:lpstr>
      <vt:lpstr>'.Index400'!Druckbereich</vt:lpstr>
      <vt:lpstr>'.Index500'!Druckbereich</vt:lpstr>
      <vt:lpstr>'.Index600'!Druckbereich</vt:lpstr>
      <vt:lpstr>'.Index700'!Druckbereich</vt:lpstr>
      <vt:lpstr>'.Index999'!Druckbereich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Nef Regula</cp:lastModifiedBy>
  <cp:lastPrinted>2018-07-30T07:11:33Z</cp:lastPrinted>
  <dcterms:created xsi:type="dcterms:W3CDTF">2017-07-26T06:20:36Z</dcterms:created>
  <dcterms:modified xsi:type="dcterms:W3CDTF">2019-01-08T16:25:07Z</dcterms:modified>
</cp:coreProperties>
</file>