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K:\9000\9960_FL_N02_EINZM_OT_Brücke_Bäumlihof\P100_Projektschluessel\Nachträge\N01_DP_Lärm\"/>
    </mc:Choice>
  </mc:AlternateContent>
  <bookViews>
    <workbookView xWindow="-120" yWindow="-120" windowWidth="28920" windowHeight="13485" tabRatio="414" firstSheet="1" activeTab="1"/>
  </bookViews>
  <sheets>
    <sheet name="HiddenXML" sheetId="2" state="hidden" r:id="rId1"/>
    <sheet name="Total_Aufwand" sheetId="6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5" i="6" l="1"/>
  <c r="K55" i="6"/>
  <c r="I52" i="6" l="1"/>
  <c r="I53" i="6" s="1"/>
  <c r="H52" i="6"/>
  <c r="H53" i="6" s="1"/>
  <c r="G52" i="6"/>
  <c r="G53" i="6" s="1"/>
  <c r="F52" i="6"/>
  <c r="F53" i="6" s="1"/>
  <c r="E52" i="6"/>
  <c r="E53" i="6" s="1"/>
  <c r="D52" i="6"/>
  <c r="D53" i="6" s="1"/>
  <c r="C52" i="6"/>
  <c r="C53" i="6" s="1"/>
  <c r="J51" i="6"/>
  <c r="J50" i="6"/>
  <c r="J49" i="6"/>
  <c r="J48" i="6"/>
  <c r="J47" i="6"/>
  <c r="J46" i="6"/>
  <c r="J45" i="6"/>
  <c r="J44" i="6"/>
  <c r="A44" i="6"/>
  <c r="A45" i="6" s="1"/>
  <c r="A46" i="6" s="1"/>
  <c r="A47" i="6" s="1"/>
  <c r="A48" i="6" s="1"/>
  <c r="A49" i="6" s="1"/>
  <c r="A50" i="6" s="1"/>
  <c r="J43" i="6"/>
  <c r="I35" i="6"/>
  <c r="I36" i="6" s="1"/>
  <c r="H35" i="6"/>
  <c r="H36" i="6" s="1"/>
  <c r="G35" i="6"/>
  <c r="G36" i="6" s="1"/>
  <c r="F35" i="6"/>
  <c r="F36" i="6" s="1"/>
  <c r="E35" i="6"/>
  <c r="E36" i="6" s="1"/>
  <c r="D35" i="6"/>
  <c r="D36" i="6" s="1"/>
  <c r="C35" i="6"/>
  <c r="C36" i="6" s="1"/>
  <c r="J34" i="6"/>
  <c r="J33" i="6"/>
  <c r="J32" i="6"/>
  <c r="J31" i="6"/>
  <c r="J30" i="6"/>
  <c r="J29" i="6"/>
  <c r="J28" i="6"/>
  <c r="J27" i="6"/>
  <c r="A27" i="6"/>
  <c r="A28" i="6" s="1"/>
  <c r="A29" i="6" s="1"/>
  <c r="A30" i="6" s="1"/>
  <c r="A31" i="6" s="1"/>
  <c r="A32" i="6" s="1"/>
  <c r="A33" i="6" s="1"/>
  <c r="J26" i="6"/>
  <c r="K52" i="6" l="1"/>
  <c r="L53" i="6"/>
  <c r="K35" i="6"/>
  <c r="L36" i="6"/>
  <c r="J16" i="6"/>
  <c r="J15" i="6"/>
  <c r="J14" i="6"/>
  <c r="J13" i="6"/>
  <c r="A10" i="6"/>
  <c r="A11" i="6" s="1"/>
  <c r="A12" i="6" s="1"/>
  <c r="H18" i="6"/>
  <c r="H19" i="6" s="1"/>
  <c r="G18" i="6"/>
  <c r="G19" i="6" s="1"/>
  <c r="D18" i="6"/>
  <c r="D19" i="6" s="1"/>
  <c r="E18" i="6"/>
  <c r="E19" i="6" s="1"/>
  <c r="F18" i="6"/>
  <c r="F19" i="6" s="1"/>
  <c r="I18" i="6"/>
  <c r="I19" i="6" s="1"/>
  <c r="A13" i="6" l="1"/>
  <c r="A14" i="6" s="1"/>
  <c r="A15" i="6" s="1"/>
  <c r="A16" i="6" s="1"/>
  <c r="J17" i="6"/>
  <c r="J12" i="6"/>
  <c r="J11" i="6"/>
  <c r="J10" i="6"/>
  <c r="J9" i="6" l="1"/>
  <c r="C18" i="6" l="1"/>
  <c r="C19" i="6" s="1"/>
  <c r="L19" i="6" s="1"/>
  <c r="J8" i="6"/>
  <c r="K18" i="6" s="1"/>
</calcChain>
</file>

<file path=xl/sharedStrings.xml><?xml version="1.0" encoding="utf-8"?>
<sst xmlns="http://schemas.openxmlformats.org/spreadsheetml/2006/main" count="122" uniqueCount="58">
  <si>
    <t>Dokumentnr.</t>
  </si>
  <si>
    <t>Erstelldatum</t>
  </si>
  <si>
    <t>Betreff</t>
  </si>
  <si>
    <t>DepartementLang</t>
  </si>
  <si>
    <t>DepartementKurz</t>
  </si>
  <si>
    <t>AmtKurz</t>
  </si>
  <si>
    <t>AmtLang</t>
  </si>
  <si>
    <t>Geschäftstitel</t>
  </si>
  <si>
    <t>Geschäftsnummer</t>
  </si>
  <si>
    <t>BenutzerVorname</t>
  </si>
  <si>
    <t>BenutzerNachname</t>
  </si>
  <si>
    <t>Benutzerzeichen</t>
  </si>
  <si>
    <t>KlassierungDokument</t>
  </si>
  <si>
    <t>122 FU Stellungnahme FaS zu den Projekten_dfi</t>
  </si>
  <si>
    <t>DP LSW Flumenthal FBBE, Musterdossier</t>
  </si>
  <si>
    <t>ASTRA-331.3-01-6/5/3/1/1/1</t>
  </si>
  <si>
    <t>Eidgenössisches Departement für Umwelt, Verkehr,
Energie und Kommunikation</t>
  </si>
  <si>
    <t>UVEK</t>
  </si>
  <si>
    <t>Bundesamt für Strassen</t>
  </si>
  <si>
    <t>ASTRA</t>
  </si>
  <si>
    <t>Renaud</t>
  </si>
  <si>
    <t>Caron</t>
  </si>
  <si>
    <t>PL</t>
  </si>
  <si>
    <t>Kat. B</t>
  </si>
  <si>
    <t>Kat. D</t>
  </si>
  <si>
    <t>Z/K</t>
  </si>
  <si>
    <t>Kat. F</t>
  </si>
  <si>
    <t>Ing.</t>
  </si>
  <si>
    <t>Kat. C</t>
  </si>
  <si>
    <t>Summe [h]</t>
  </si>
  <si>
    <t>[h]</t>
  </si>
  <si>
    <t>Std-Ansatz gemäss Hauptvertrag [CHF/h]</t>
  </si>
  <si>
    <t>Total [CHF]</t>
  </si>
  <si>
    <t>Stand: 03.01.2023</t>
  </si>
  <si>
    <t>Kat. E</t>
  </si>
  <si>
    <t>Studie der Grundlagen AP"N02 Lärmsanierung Osttangente Basel" inkl. Plangenehmigung</t>
  </si>
  <si>
    <t>Erstellen der Nutzungsvereinbarung</t>
  </si>
  <si>
    <t>Statische Bemessung der Stahl-Glas Konstruktion und Verankerungen am Brückenbauwerk</t>
  </si>
  <si>
    <t>Erstellen der Projektbasis</t>
  </si>
  <si>
    <t>Erstellen des Technischen Berichtes</t>
  </si>
  <si>
    <t>Erstellen des Kostenvoranschlages ± 10 %</t>
  </si>
  <si>
    <t>CAD-Bearbeitung / Pläne</t>
  </si>
  <si>
    <t>Erstellen des Bauprogramms</t>
  </si>
  <si>
    <t>Besprechungen mit BHU/BH, Dritte, Koordination</t>
  </si>
  <si>
    <t>Engineering: Projektierung der Stahlkonstruktion, Materialisierung, Bauablauf / Vorkehrungen für die Lieferung und Montage</t>
  </si>
  <si>
    <t>nicht nötig</t>
  </si>
  <si>
    <t>Engineering: Projektierung der LSW-Verkleidung Materialisierung, Bauablauf / Vorkehrungen für die Lieferung und Montage</t>
  </si>
  <si>
    <t>nicht nötig, im Schatten der Instandsetzung SWT</t>
  </si>
  <si>
    <t>Pos. 2</t>
  </si>
  <si>
    <t xml:space="preserve">Tunnel Schwarzwald Obj. 918: Schallabsorbierende Verkleidungen Vorzone Süd </t>
  </si>
  <si>
    <t>Pos. 1</t>
  </si>
  <si>
    <t>Brücke Bäumlihof Obj. 916: Verlängerung der bestehenden LSW</t>
  </si>
  <si>
    <t>inkl. in Pos. 1</t>
  </si>
  <si>
    <t>Pos. 3</t>
  </si>
  <si>
    <t>LL</t>
  </si>
  <si>
    <t>Kat. 3/4G</t>
  </si>
  <si>
    <t>Summe 1-3</t>
  </si>
  <si>
    <t>Brücke Aufgeständerte Schwarzwaldallee Obj. 920: Schallabsorbierende Verkleidungen (Vorzone Nord des Schwarzwaldtunnels)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</si>
</sst>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0.0"/>
  </numFmts>
  <fonts count="7" x14ac:knownFonts="1"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43" fontId="3" fillId="0" borderId="0" applyFont="0" applyFill="0" applyBorder="0" applyAlignment="0" applyProtection="0"/>
  </cellStyleXfs>
  <cellXfs count="34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applyNumberFormat="1" applyAlignment="1">
      <alignment wrapText="1"/>
    </xf>
    <xf numFmtId="43" fontId="5" fillId="0" borderId="0" xfId="4" applyNumberFormat="1" applyFont="1"/>
    <xf numFmtId="0" fontId="1" fillId="0" borderId="1" xfId="4" applyFont="1" applyBorder="1" applyAlignment="1">
      <alignment horizontal="center"/>
    </xf>
    <xf numFmtId="0" fontId="0" fillId="0" borderId="1" xfId="0" applyFont="1" applyBorder="1" applyAlignment="1">
      <alignment vertical="top"/>
    </xf>
    <xf numFmtId="43" fontId="0" fillId="0" borderId="0" xfId="0" applyNumberFormat="1" applyFont="1" applyAlignment="1">
      <alignment vertical="top"/>
    </xf>
    <xf numFmtId="0" fontId="0" fillId="0" borderId="0" xfId="0" applyFont="1"/>
    <xf numFmtId="0" fontId="0" fillId="0" borderId="1" xfId="0" applyFont="1" applyBorder="1"/>
    <xf numFmtId="43" fontId="1" fillId="0" borderId="1" xfId="7" applyFont="1" applyBorder="1" applyAlignment="1">
      <alignment horizontal="center"/>
    </xf>
    <xf numFmtId="0" fontId="0" fillId="0" borderId="0" xfId="0" applyFont="1" applyFill="1" applyAlignment="1">
      <alignment vertical="top" wrapText="1"/>
    </xf>
    <xf numFmtId="0" fontId="0" fillId="0" borderId="1" xfId="0" applyFont="1" applyFill="1" applyBorder="1" applyAlignment="1">
      <alignment vertical="top"/>
    </xf>
    <xf numFmtId="0" fontId="4" fillId="0" borderId="1" xfId="0" applyFont="1" applyFill="1" applyBorder="1" applyAlignment="1">
      <alignment vertical="top"/>
    </xf>
    <xf numFmtId="0" fontId="0" fillId="0" borderId="0" xfId="0" applyFont="1" applyFill="1"/>
    <xf numFmtId="0" fontId="0" fillId="0" borderId="2" xfId="0" applyFont="1" applyFill="1" applyBorder="1" applyAlignment="1">
      <alignment vertical="top"/>
    </xf>
    <xf numFmtId="0" fontId="4" fillId="0" borderId="2" xfId="0" applyFont="1" applyFill="1" applyBorder="1" applyAlignment="1">
      <alignment vertical="top"/>
    </xf>
    <xf numFmtId="0" fontId="4" fillId="0" borderId="0" xfId="0" applyFont="1"/>
    <xf numFmtId="0" fontId="0" fillId="0" borderId="0" xfId="0" applyFont="1" applyAlignment="1">
      <alignment wrapText="1"/>
    </xf>
    <xf numFmtId="0" fontId="0" fillId="0" borderId="0" xfId="0" applyFont="1" applyAlignment="1">
      <alignment horizontal="right" wrapText="1"/>
    </xf>
    <xf numFmtId="164" fontId="0" fillId="0" borderId="0" xfId="0" applyNumberFormat="1" applyFont="1" applyFill="1" applyAlignment="1">
      <alignment horizontal="left" vertical="top" wrapText="1"/>
    </xf>
    <xf numFmtId="2" fontId="0" fillId="0" borderId="0" xfId="0" applyNumberFormat="1" applyFont="1" applyFill="1" applyAlignment="1">
      <alignment horizontal="left" vertical="top" wrapText="1"/>
    </xf>
    <xf numFmtId="0" fontId="0" fillId="0" borderId="0" xfId="0" applyFont="1" applyFill="1" applyAlignment="1">
      <alignment horizontal="right" vertical="top" wrapText="1"/>
    </xf>
    <xf numFmtId="0" fontId="0" fillId="0" borderId="0" xfId="0" applyFont="1" applyAlignment="1">
      <alignment vertical="top"/>
    </xf>
    <xf numFmtId="0" fontId="4" fillId="0" borderId="3" xfId="0" applyFont="1" applyBorder="1" applyAlignment="1">
      <alignment vertical="top"/>
    </xf>
    <xf numFmtId="0" fontId="0" fillId="0" borderId="0" xfId="0" applyFont="1" applyBorder="1"/>
    <xf numFmtId="0" fontId="0" fillId="0" borderId="0" xfId="0" applyFont="1" applyBorder="1" applyAlignment="1">
      <alignment vertical="top"/>
    </xf>
    <xf numFmtId="43" fontId="4" fillId="0" borderId="0" xfId="0" applyNumberFormat="1" applyFont="1" applyBorder="1" applyAlignment="1">
      <alignment vertical="top"/>
    </xf>
    <xf numFmtId="0" fontId="0" fillId="0" borderId="0" xfId="0" applyFont="1" applyAlignment="1"/>
    <xf numFmtId="0" fontId="4" fillId="0" borderId="0" xfId="0" applyFont="1" applyAlignment="1">
      <alignment horizontal="right"/>
    </xf>
    <xf numFmtId="0" fontId="6" fillId="2" borderId="0" xfId="0" applyFont="1" applyFill="1" applyAlignment="1">
      <alignment horizontal="center" vertical="top" wrapText="1"/>
    </xf>
    <xf numFmtId="0" fontId="0" fillId="0" borderId="5" xfId="0" applyFont="1" applyBorder="1"/>
    <xf numFmtId="0" fontId="6" fillId="2" borderId="0" xfId="0" applyFont="1" applyFill="1" applyAlignment="1">
      <alignment horizontal="left" vertical="top" wrapText="1"/>
    </xf>
    <xf numFmtId="0" fontId="6" fillId="2" borderId="4" xfId="0" applyFont="1" applyFill="1" applyBorder="1" applyAlignment="1">
      <alignment horizontal="left" vertical="top" wrapText="1"/>
    </xf>
  </cellXfs>
  <cellStyles count="8">
    <cellStyle name="Komma" xfId="7" builtinId="3"/>
    <cellStyle name="Normal 2" xfId="5"/>
    <cellStyle name="Standard" xfId="0" builtinId="0"/>
    <cellStyle name="Standard 2" xfId="2"/>
    <cellStyle name="Standard 3" xfId="3"/>
    <cellStyle name="Standard 4" xfId="1"/>
    <cellStyle name="Standard 5" xfId="4"/>
    <cellStyle name="Standard 5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CD Bund Design">
  <a:themeElements>
    <a:clrScheme name="CD Bund_Farben">
      <a:dk1>
        <a:sysClr val="windowText" lastClr="000000"/>
      </a:dk1>
      <a:lt1>
        <a:sysClr val="window" lastClr="FFFFFF"/>
      </a:lt1>
      <a:dk2>
        <a:srgbClr val="44546A"/>
      </a:dk2>
      <a:lt2>
        <a:srgbClr val="E6E6E6"/>
      </a:lt2>
      <a:accent1>
        <a:srgbClr val="05A8AF"/>
      </a:accent1>
      <a:accent2>
        <a:srgbClr val="294171"/>
      </a:accent2>
      <a:accent3>
        <a:srgbClr val="F1E21A"/>
      </a:accent3>
      <a:accent4>
        <a:srgbClr val="E1AE3A"/>
      </a:accent4>
      <a:accent5>
        <a:srgbClr val="BB006A"/>
      </a:accent5>
      <a:accent6>
        <a:srgbClr val="939393"/>
      </a:accent6>
      <a:hlink>
        <a:srgbClr val="0563C1"/>
      </a:hlink>
      <a:folHlink>
        <a:srgbClr val="0563C1"/>
      </a:folHlink>
    </a:clrScheme>
    <a:fontScheme name="CD_Bund_Schriften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17"/>
  <sheetViews>
    <sheetView workbookViewId="0">
      <selection activeCell="A19" sqref="A19"/>
    </sheetView>
  </sheetViews>
  <sheetFormatPr baseColWidth="10" defaultColWidth="11.42578125" defaultRowHeight="12.75" x14ac:dyDescent="0.2"/>
  <cols>
    <col min="1" max="1" width="23.5703125" customWidth="1"/>
    <col min="2" max="2" width="42.42578125" bestFit="1" customWidth="1"/>
  </cols>
  <sheetData>
    <row r="1" spans="1:2" x14ac:dyDescent="0.2">
      <c r="A1" t="s">
        <v>2</v>
      </c>
      <c r="B1" s="1" t="s">
        <v>13</v>
      </c>
    </row>
    <row r="2" spans="1:2" x14ac:dyDescent="0.2">
      <c r="A2" t="s">
        <v>0</v>
      </c>
      <c r="B2" s="1"/>
    </row>
    <row r="3" spans="1:2" x14ac:dyDescent="0.2">
      <c r="A3" t="s">
        <v>7</v>
      </c>
      <c r="B3" s="1" t="s">
        <v>14</v>
      </c>
    </row>
    <row r="4" spans="1:2" x14ac:dyDescent="0.2">
      <c r="A4" t="s">
        <v>8</v>
      </c>
      <c r="B4" s="1" t="s">
        <v>15</v>
      </c>
    </row>
    <row r="6" spans="1:2" x14ac:dyDescent="0.2">
      <c r="A6" t="s">
        <v>1</v>
      </c>
      <c r="B6" s="2">
        <v>44187</v>
      </c>
    </row>
    <row r="8" spans="1:2" x14ac:dyDescent="0.2">
      <c r="A8" t="s">
        <v>9</v>
      </c>
      <c r="B8" s="1" t="s">
        <v>20</v>
      </c>
    </row>
    <row r="9" spans="1:2" x14ac:dyDescent="0.2">
      <c r="A9" t="s">
        <v>10</v>
      </c>
      <c r="B9" s="1" t="s">
        <v>21</v>
      </c>
    </row>
    <row r="10" spans="1:2" x14ac:dyDescent="0.2">
      <c r="A10" t="s">
        <v>11</v>
      </c>
      <c r="B10" s="1"/>
    </row>
    <row r="11" spans="1:2" x14ac:dyDescent="0.2">
      <c r="B11" s="1"/>
    </row>
    <row r="12" spans="1:2" ht="38.25" x14ac:dyDescent="0.2">
      <c r="A12" t="s">
        <v>3</v>
      </c>
      <c r="B12" s="3" t="s">
        <v>16</v>
      </c>
    </row>
    <row r="13" spans="1:2" x14ac:dyDescent="0.2">
      <c r="A13" t="s">
        <v>4</v>
      </c>
      <c r="B13" s="1" t="s">
        <v>17</v>
      </c>
    </row>
    <row r="14" spans="1:2" x14ac:dyDescent="0.2">
      <c r="A14" t="s">
        <v>6</v>
      </c>
      <c r="B14" s="1" t="s">
        <v>18</v>
      </c>
    </row>
    <row r="15" spans="1:2" x14ac:dyDescent="0.2">
      <c r="A15" t="s">
        <v>5</v>
      </c>
      <c r="B15" s="1" t="s">
        <v>19</v>
      </c>
    </row>
    <row r="17" spans="1:2" x14ac:dyDescent="0.2">
      <c r="A17" t="s">
        <v>12</v>
      </c>
      <c r="B17" s="1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abSelected="1" topLeftCell="A34" zoomScaleNormal="100" zoomScaleSheetLayoutView="130" workbookViewId="0">
      <selection activeCell="B31" sqref="B31"/>
    </sheetView>
  </sheetViews>
  <sheetFormatPr baseColWidth="10" defaultRowHeight="12.75" x14ac:dyDescent="0.2"/>
  <cols>
    <col min="1" max="1" width="8.140625" style="18" customWidth="1"/>
    <col min="2" max="2" width="76.85546875" style="18" customWidth="1"/>
    <col min="3" max="10" width="10.140625" style="8" customWidth="1"/>
    <col min="11" max="11" width="4" style="8" bestFit="1" customWidth="1"/>
    <col min="12" max="12" width="11.42578125" style="25"/>
    <col min="13" max="16384" width="11.42578125" style="8"/>
  </cols>
  <sheetData>
    <row r="1" spans="1:12" x14ac:dyDescent="0.2">
      <c r="A1" s="28" t="s">
        <v>33</v>
      </c>
    </row>
    <row r="3" spans="1:12" s="23" customFormat="1" ht="27.75" customHeight="1" x14ac:dyDescent="0.2">
      <c r="A3" s="30" t="s">
        <v>50</v>
      </c>
      <c r="B3" s="32" t="s">
        <v>51</v>
      </c>
      <c r="C3" s="32"/>
      <c r="D3" s="32"/>
      <c r="E3" s="32"/>
      <c r="F3" s="32"/>
      <c r="G3" s="32"/>
      <c r="H3" s="32"/>
      <c r="I3" s="32"/>
      <c r="J3" s="33"/>
      <c r="L3" s="26"/>
    </row>
    <row r="4" spans="1:12" ht="15" customHeight="1" x14ac:dyDescent="0.2">
      <c r="C4" s="5" t="s">
        <v>22</v>
      </c>
      <c r="D4" s="5" t="s">
        <v>27</v>
      </c>
      <c r="E4" s="5" t="s">
        <v>27</v>
      </c>
      <c r="F4" s="5" t="s">
        <v>25</v>
      </c>
      <c r="G4" s="5" t="s">
        <v>25</v>
      </c>
      <c r="H4" s="5" t="s">
        <v>25</v>
      </c>
      <c r="I4" s="5" t="s">
        <v>54</v>
      </c>
      <c r="J4" s="9"/>
    </row>
    <row r="5" spans="1:12" ht="15" customHeight="1" x14ac:dyDescent="0.2">
      <c r="B5" s="19"/>
      <c r="C5" s="5" t="s">
        <v>23</v>
      </c>
      <c r="D5" s="5" t="s">
        <v>28</v>
      </c>
      <c r="E5" s="5" t="s">
        <v>24</v>
      </c>
      <c r="F5" s="5" t="s">
        <v>24</v>
      </c>
      <c r="G5" s="5" t="s">
        <v>34</v>
      </c>
      <c r="H5" s="5" t="s">
        <v>26</v>
      </c>
      <c r="I5" s="5" t="s">
        <v>55</v>
      </c>
      <c r="J5" s="9"/>
    </row>
    <row r="6" spans="1:12" ht="15" customHeight="1" x14ac:dyDescent="0.2">
      <c r="B6" s="19" t="s">
        <v>31</v>
      </c>
      <c r="C6" s="10">
        <v>126</v>
      </c>
      <c r="D6" s="10">
        <v>105</v>
      </c>
      <c r="E6" s="10">
        <v>95</v>
      </c>
      <c r="F6" s="10">
        <v>95</v>
      </c>
      <c r="G6" s="10">
        <v>65</v>
      </c>
      <c r="H6" s="10">
        <v>55</v>
      </c>
      <c r="I6" s="10">
        <v>37.5</v>
      </c>
      <c r="J6" s="9" t="s">
        <v>29</v>
      </c>
    </row>
    <row r="7" spans="1:12" ht="15" customHeight="1" x14ac:dyDescent="0.2">
      <c r="B7" s="19"/>
      <c r="C7" s="10"/>
      <c r="D7" s="10"/>
      <c r="E7" s="10"/>
      <c r="F7" s="10"/>
      <c r="G7" s="10"/>
      <c r="H7" s="10"/>
      <c r="I7" s="10"/>
      <c r="J7" s="9"/>
    </row>
    <row r="8" spans="1:12" ht="30.75" customHeight="1" x14ac:dyDescent="0.2">
      <c r="A8" s="20">
        <v>1.1000000000000001</v>
      </c>
      <c r="B8" s="11" t="s">
        <v>35</v>
      </c>
      <c r="C8" s="12">
        <v>1</v>
      </c>
      <c r="D8" s="12"/>
      <c r="E8" s="12">
        <v>4</v>
      </c>
      <c r="F8" s="12"/>
      <c r="G8" s="12"/>
      <c r="H8" s="12"/>
      <c r="I8" s="12"/>
      <c r="J8" s="13">
        <f>SUM(C8:I8)</f>
        <v>5</v>
      </c>
    </row>
    <row r="9" spans="1:12" ht="30.75" customHeight="1" x14ac:dyDescent="0.2">
      <c r="A9" s="20">
        <v>1.2</v>
      </c>
      <c r="B9" s="11" t="s">
        <v>36</v>
      </c>
      <c r="C9" s="12">
        <v>5</v>
      </c>
      <c r="D9" s="12"/>
      <c r="E9" s="12">
        <v>15</v>
      </c>
      <c r="F9" s="12"/>
      <c r="G9" s="12"/>
      <c r="H9" s="12"/>
      <c r="I9" s="12"/>
      <c r="J9" s="13">
        <f t="shared" ref="J9:J17" si="0">SUM(C9:I9)</f>
        <v>20</v>
      </c>
    </row>
    <row r="10" spans="1:12" ht="30.75" customHeight="1" x14ac:dyDescent="0.2">
      <c r="A10" s="20">
        <f>A9+0.1</f>
        <v>1.3</v>
      </c>
      <c r="B10" s="11" t="s">
        <v>38</v>
      </c>
      <c r="C10" s="12">
        <v>5</v>
      </c>
      <c r="D10" s="12"/>
      <c r="E10" s="12">
        <v>25</v>
      </c>
      <c r="F10" s="12"/>
      <c r="G10" s="12"/>
      <c r="H10" s="12"/>
      <c r="I10" s="12"/>
      <c r="J10" s="13">
        <f>SUM(C10:I10)</f>
        <v>30</v>
      </c>
    </row>
    <row r="11" spans="1:12" ht="30.75" customHeight="1" x14ac:dyDescent="0.2">
      <c r="A11" s="20">
        <f t="shared" ref="A11:A16" si="1">A10+0.1</f>
        <v>1.4000000000000001</v>
      </c>
      <c r="B11" s="11" t="s">
        <v>37</v>
      </c>
      <c r="C11" s="12">
        <v>2</v>
      </c>
      <c r="D11" s="12">
        <v>10</v>
      </c>
      <c r="E11" s="12">
        <v>48</v>
      </c>
      <c r="F11" s="12"/>
      <c r="G11" s="12"/>
      <c r="H11" s="12"/>
      <c r="I11" s="12"/>
      <c r="J11" s="13">
        <f t="shared" si="0"/>
        <v>60</v>
      </c>
    </row>
    <row r="12" spans="1:12" ht="25.5" x14ac:dyDescent="0.2">
      <c r="A12" s="20">
        <f t="shared" si="1"/>
        <v>1.5000000000000002</v>
      </c>
      <c r="B12" s="11" t="s">
        <v>44</v>
      </c>
      <c r="C12" s="12">
        <v>10</v>
      </c>
      <c r="D12" s="12"/>
      <c r="E12" s="12">
        <v>40</v>
      </c>
      <c r="F12" s="12"/>
      <c r="G12" s="12"/>
      <c r="H12" s="12"/>
      <c r="I12" s="12"/>
      <c r="J12" s="13">
        <f>SUM(C12:I12)</f>
        <v>50</v>
      </c>
    </row>
    <row r="13" spans="1:12" ht="30.75" customHeight="1" x14ac:dyDescent="0.2">
      <c r="A13" s="20">
        <f t="shared" si="1"/>
        <v>1.6000000000000003</v>
      </c>
      <c r="B13" s="11" t="s">
        <v>40</v>
      </c>
      <c r="C13" s="12">
        <v>2</v>
      </c>
      <c r="D13" s="12"/>
      <c r="E13" s="12">
        <v>28</v>
      </c>
      <c r="F13" s="12"/>
      <c r="G13" s="12"/>
      <c r="H13" s="12"/>
      <c r="I13" s="12"/>
      <c r="J13" s="13">
        <f>SUM(C13:I13)</f>
        <v>30</v>
      </c>
      <c r="K13" s="14"/>
    </row>
    <row r="14" spans="1:12" ht="30.75" customHeight="1" x14ac:dyDescent="0.2">
      <c r="A14" s="20">
        <f t="shared" si="1"/>
        <v>1.7000000000000004</v>
      </c>
      <c r="B14" s="11" t="s">
        <v>42</v>
      </c>
      <c r="C14" s="12">
        <v>5</v>
      </c>
      <c r="D14" s="12"/>
      <c r="E14" s="12"/>
      <c r="F14" s="12"/>
      <c r="G14" s="12"/>
      <c r="H14" s="12"/>
      <c r="I14" s="12"/>
      <c r="J14" s="13">
        <f>SUM(C14:I14)</f>
        <v>5</v>
      </c>
      <c r="K14" s="14"/>
    </row>
    <row r="15" spans="1:12" ht="30.75" customHeight="1" x14ac:dyDescent="0.2">
      <c r="A15" s="20">
        <f t="shared" si="1"/>
        <v>1.8000000000000005</v>
      </c>
      <c r="B15" s="11" t="s">
        <v>39</v>
      </c>
      <c r="C15" s="12">
        <v>20</v>
      </c>
      <c r="D15" s="12"/>
      <c r="E15" s="12">
        <v>40</v>
      </c>
      <c r="F15" s="12"/>
      <c r="G15" s="12"/>
      <c r="H15" s="12"/>
      <c r="I15" s="12"/>
      <c r="J15" s="13">
        <f>SUM(C15:I15)</f>
        <v>60</v>
      </c>
      <c r="K15" s="14"/>
    </row>
    <row r="16" spans="1:12" ht="30.75" customHeight="1" x14ac:dyDescent="0.2">
      <c r="A16" s="20">
        <f t="shared" si="1"/>
        <v>1.9000000000000006</v>
      </c>
      <c r="B16" s="11" t="s">
        <v>41</v>
      </c>
      <c r="C16" s="12">
        <v>20</v>
      </c>
      <c r="D16" s="12"/>
      <c r="E16" s="12"/>
      <c r="F16" s="12">
        <v>80</v>
      </c>
      <c r="G16" s="12"/>
      <c r="H16" s="12"/>
      <c r="I16" s="12">
        <v>40</v>
      </c>
      <c r="J16" s="13">
        <f>SUM(C16:I16)</f>
        <v>140</v>
      </c>
      <c r="K16" s="14"/>
    </row>
    <row r="17" spans="1:12" ht="30.75" customHeight="1" x14ac:dyDescent="0.2">
      <c r="A17" s="21">
        <v>1.1000000000000001</v>
      </c>
      <c r="B17" s="11" t="s">
        <v>43</v>
      </c>
      <c r="C17" s="15">
        <v>20</v>
      </c>
      <c r="D17" s="15"/>
      <c r="E17" s="15">
        <v>10</v>
      </c>
      <c r="F17" s="15"/>
      <c r="G17" s="15"/>
      <c r="H17" s="15"/>
      <c r="I17" s="15"/>
      <c r="J17" s="16">
        <f t="shared" si="0"/>
        <v>30</v>
      </c>
    </row>
    <row r="18" spans="1:12" ht="18" customHeight="1" x14ac:dyDescent="0.2">
      <c r="B18" s="22" t="s">
        <v>30</v>
      </c>
      <c r="C18" s="6">
        <f t="shared" ref="C18:I18" si="2">SUM(C8:C17)</f>
        <v>90</v>
      </c>
      <c r="D18" s="6">
        <f t="shared" si="2"/>
        <v>10</v>
      </c>
      <c r="E18" s="6">
        <f t="shared" si="2"/>
        <v>210</v>
      </c>
      <c r="F18" s="6">
        <f t="shared" si="2"/>
        <v>80</v>
      </c>
      <c r="G18" s="6">
        <f t="shared" si="2"/>
        <v>0</v>
      </c>
      <c r="H18" s="6">
        <f t="shared" si="2"/>
        <v>0</v>
      </c>
      <c r="I18" s="6">
        <f t="shared" si="2"/>
        <v>40</v>
      </c>
      <c r="K18" s="24">
        <f>SUM(J8:J17)</f>
        <v>430</v>
      </c>
      <c r="L18" s="31"/>
    </row>
    <row r="19" spans="1:12" ht="18" customHeight="1" x14ac:dyDescent="0.2">
      <c r="B19" s="22" t="s">
        <v>32</v>
      </c>
      <c r="C19" s="7">
        <f t="shared" ref="C19:I19" si="3">C18*C6</f>
        <v>11340</v>
      </c>
      <c r="D19" s="7">
        <f t="shared" si="3"/>
        <v>1050</v>
      </c>
      <c r="E19" s="7">
        <f t="shared" si="3"/>
        <v>19950</v>
      </c>
      <c r="F19" s="7">
        <f t="shared" si="3"/>
        <v>7600</v>
      </c>
      <c r="G19" s="7">
        <f t="shared" si="3"/>
        <v>0</v>
      </c>
      <c r="H19" s="7">
        <f t="shared" si="3"/>
        <v>0</v>
      </c>
      <c r="I19" s="7">
        <f t="shared" si="3"/>
        <v>1500</v>
      </c>
      <c r="K19" s="4"/>
      <c r="L19" s="27">
        <f>SUM(C19:I19)</f>
        <v>41440</v>
      </c>
    </row>
    <row r="20" spans="1:12" ht="18" customHeight="1" x14ac:dyDescent="0.2">
      <c r="B20" s="22"/>
      <c r="C20" s="7"/>
      <c r="D20" s="7"/>
      <c r="E20" s="7"/>
      <c r="F20" s="7"/>
      <c r="G20" s="7"/>
      <c r="H20" s="7"/>
      <c r="I20" s="7"/>
      <c r="K20" s="4"/>
      <c r="L20" s="27"/>
    </row>
    <row r="21" spans="1:12" s="23" customFormat="1" ht="27.75" customHeight="1" x14ac:dyDescent="0.2">
      <c r="A21" s="30" t="s">
        <v>48</v>
      </c>
      <c r="B21" s="32" t="s">
        <v>49</v>
      </c>
      <c r="C21" s="32"/>
      <c r="D21" s="32"/>
      <c r="E21" s="32"/>
      <c r="F21" s="32"/>
      <c r="G21" s="32"/>
      <c r="H21" s="32"/>
      <c r="I21" s="32"/>
      <c r="J21" s="33"/>
      <c r="L21" s="26"/>
    </row>
    <row r="22" spans="1:12" ht="15" customHeight="1" x14ac:dyDescent="0.2">
      <c r="C22" s="5" t="s">
        <v>22</v>
      </c>
      <c r="D22" s="5" t="s">
        <v>27</v>
      </c>
      <c r="E22" s="5" t="s">
        <v>27</v>
      </c>
      <c r="F22" s="5" t="s">
        <v>25</v>
      </c>
      <c r="G22" s="5" t="s">
        <v>25</v>
      </c>
      <c r="H22" s="5" t="s">
        <v>25</v>
      </c>
      <c r="I22" s="5" t="s">
        <v>54</v>
      </c>
      <c r="J22" s="9"/>
    </row>
    <row r="23" spans="1:12" ht="15" customHeight="1" x14ac:dyDescent="0.2">
      <c r="B23" s="19"/>
      <c r="C23" s="5" t="s">
        <v>23</v>
      </c>
      <c r="D23" s="5" t="s">
        <v>28</v>
      </c>
      <c r="E23" s="5" t="s">
        <v>24</v>
      </c>
      <c r="F23" s="5" t="s">
        <v>24</v>
      </c>
      <c r="G23" s="5" t="s">
        <v>34</v>
      </c>
      <c r="H23" s="5" t="s">
        <v>26</v>
      </c>
      <c r="I23" s="5" t="s">
        <v>55</v>
      </c>
      <c r="J23" s="9"/>
    </row>
    <row r="24" spans="1:12" ht="15" customHeight="1" x14ac:dyDescent="0.2">
      <c r="B24" s="19" t="s">
        <v>31</v>
      </c>
      <c r="C24" s="10">
        <v>126</v>
      </c>
      <c r="D24" s="10">
        <v>105</v>
      </c>
      <c r="E24" s="10">
        <v>95</v>
      </c>
      <c r="F24" s="10">
        <v>95</v>
      </c>
      <c r="G24" s="10">
        <v>65</v>
      </c>
      <c r="H24" s="10">
        <v>55</v>
      </c>
      <c r="I24" s="10">
        <v>37.5</v>
      </c>
      <c r="J24" s="9" t="s">
        <v>29</v>
      </c>
    </row>
    <row r="26" spans="1:12" ht="30.75" customHeight="1" x14ac:dyDescent="0.2">
      <c r="A26" s="20">
        <v>2.1</v>
      </c>
      <c r="B26" s="11" t="s">
        <v>36</v>
      </c>
      <c r="C26" s="12" t="s">
        <v>45</v>
      </c>
      <c r="D26" s="12"/>
      <c r="E26" s="12"/>
      <c r="F26" s="12"/>
      <c r="G26" s="12"/>
      <c r="H26" s="12"/>
      <c r="I26" s="12"/>
      <c r="J26" s="13">
        <f t="shared" ref="J26" si="4">SUM(C26:I26)</f>
        <v>0</v>
      </c>
    </row>
    <row r="27" spans="1:12" ht="30.75" customHeight="1" x14ac:dyDescent="0.2">
      <c r="A27" s="20">
        <f>A26+0.1</f>
        <v>2.2000000000000002</v>
      </c>
      <c r="B27" s="11" t="s">
        <v>38</v>
      </c>
      <c r="C27" s="12" t="s">
        <v>45</v>
      </c>
      <c r="D27" s="12"/>
      <c r="E27" s="12"/>
      <c r="F27" s="12"/>
      <c r="G27" s="12"/>
      <c r="H27" s="12"/>
      <c r="I27" s="12"/>
      <c r="J27" s="13">
        <f>SUM(C27:I27)</f>
        <v>0</v>
      </c>
    </row>
    <row r="28" spans="1:12" ht="30.75" customHeight="1" x14ac:dyDescent="0.2">
      <c r="A28" s="20">
        <f t="shared" ref="A28:A33" si="5">A27+0.1</f>
        <v>2.3000000000000003</v>
      </c>
      <c r="B28" s="11" t="s">
        <v>37</v>
      </c>
      <c r="C28" s="12" t="s">
        <v>45</v>
      </c>
      <c r="D28" s="12"/>
      <c r="E28" s="12"/>
      <c r="F28" s="12"/>
      <c r="G28" s="12"/>
      <c r="H28" s="12"/>
      <c r="I28" s="12"/>
      <c r="J28" s="13">
        <f t="shared" ref="J28" si="6">SUM(C28:I28)</f>
        <v>0</v>
      </c>
    </row>
    <row r="29" spans="1:12" ht="25.5" x14ac:dyDescent="0.2">
      <c r="A29" s="20">
        <f t="shared" si="5"/>
        <v>2.4000000000000004</v>
      </c>
      <c r="B29" s="11" t="s">
        <v>46</v>
      </c>
      <c r="C29" s="12">
        <v>5</v>
      </c>
      <c r="D29" s="12"/>
      <c r="E29" s="12">
        <v>20</v>
      </c>
      <c r="F29" s="12"/>
      <c r="G29" s="12"/>
      <c r="H29" s="12"/>
      <c r="I29" s="12"/>
      <c r="J29" s="13">
        <f>SUM(C29:I29)</f>
        <v>25</v>
      </c>
    </row>
    <row r="30" spans="1:12" ht="30.75" customHeight="1" x14ac:dyDescent="0.2">
      <c r="A30" s="20">
        <f t="shared" si="5"/>
        <v>2.5000000000000004</v>
      </c>
      <c r="B30" s="11" t="s">
        <v>40</v>
      </c>
      <c r="C30" s="12">
        <v>5</v>
      </c>
      <c r="D30" s="12"/>
      <c r="E30" s="12">
        <v>10</v>
      </c>
      <c r="F30" s="12"/>
      <c r="G30" s="12"/>
      <c r="H30" s="12"/>
      <c r="I30" s="12"/>
      <c r="J30" s="13">
        <f>SUM(C30:I30)</f>
        <v>15</v>
      </c>
      <c r="K30" s="14"/>
    </row>
    <row r="31" spans="1:12" ht="30.75" customHeight="1" x14ac:dyDescent="0.2">
      <c r="A31" s="20">
        <f t="shared" si="5"/>
        <v>2.6000000000000005</v>
      </c>
      <c r="B31" s="11" t="s">
        <v>42</v>
      </c>
      <c r="C31" s="12" t="s">
        <v>47</v>
      </c>
      <c r="D31" s="12"/>
      <c r="E31" s="12"/>
      <c r="F31" s="12"/>
      <c r="G31" s="12"/>
      <c r="H31" s="12"/>
      <c r="I31" s="12"/>
      <c r="J31" s="13">
        <f>SUM(C31:I31)</f>
        <v>0</v>
      </c>
      <c r="K31" s="14"/>
    </row>
    <row r="32" spans="1:12" ht="30.75" customHeight="1" x14ac:dyDescent="0.2">
      <c r="A32" s="20">
        <f t="shared" si="5"/>
        <v>2.7000000000000006</v>
      </c>
      <c r="B32" s="11" t="s">
        <v>39</v>
      </c>
      <c r="C32" s="12">
        <v>5</v>
      </c>
      <c r="D32" s="12"/>
      <c r="E32" s="12">
        <v>20</v>
      </c>
      <c r="F32" s="12"/>
      <c r="G32" s="12"/>
      <c r="H32" s="12"/>
      <c r="I32" s="12"/>
      <c r="J32" s="13">
        <f>SUM(C32:I32)</f>
        <v>25</v>
      </c>
      <c r="K32" s="14"/>
    </row>
    <row r="33" spans="1:12" ht="30.75" customHeight="1" x14ac:dyDescent="0.2">
      <c r="A33" s="20">
        <f t="shared" si="5"/>
        <v>2.8000000000000007</v>
      </c>
      <c r="B33" s="11" t="s">
        <v>41</v>
      </c>
      <c r="C33" s="12">
        <v>5</v>
      </c>
      <c r="D33" s="12"/>
      <c r="E33" s="12"/>
      <c r="F33" s="12">
        <v>25</v>
      </c>
      <c r="G33" s="12"/>
      <c r="H33" s="12"/>
      <c r="I33" s="12">
        <v>20</v>
      </c>
      <c r="J33" s="13">
        <f>SUM(C33:I33)</f>
        <v>50</v>
      </c>
      <c r="K33" s="14"/>
    </row>
    <row r="34" spans="1:12" ht="30.75" customHeight="1" x14ac:dyDescent="0.2">
      <c r="A34" s="21">
        <v>2.1</v>
      </c>
      <c r="B34" s="11" t="s">
        <v>43</v>
      </c>
      <c r="C34" s="15" t="s">
        <v>52</v>
      </c>
      <c r="D34" s="15"/>
      <c r="E34" s="15"/>
      <c r="F34" s="15"/>
      <c r="G34" s="15"/>
      <c r="H34" s="15"/>
      <c r="I34" s="15"/>
      <c r="J34" s="16">
        <f t="shared" ref="J34" si="7">SUM(C34:I34)</f>
        <v>0</v>
      </c>
    </row>
    <row r="35" spans="1:12" ht="18" customHeight="1" x14ac:dyDescent="0.2">
      <c r="B35" s="22" t="s">
        <v>30</v>
      </c>
      <c r="C35" s="6">
        <f t="shared" ref="C35:I35" si="8">SUM(C26:C34)</f>
        <v>20</v>
      </c>
      <c r="D35" s="6">
        <f t="shared" si="8"/>
        <v>0</v>
      </c>
      <c r="E35" s="6">
        <f t="shared" si="8"/>
        <v>50</v>
      </c>
      <c r="F35" s="6">
        <f t="shared" si="8"/>
        <v>25</v>
      </c>
      <c r="G35" s="6">
        <f t="shared" si="8"/>
        <v>0</v>
      </c>
      <c r="H35" s="6">
        <f t="shared" si="8"/>
        <v>0</v>
      </c>
      <c r="I35" s="6">
        <f t="shared" si="8"/>
        <v>20</v>
      </c>
      <c r="K35" s="24">
        <f>SUM(J26:J34)</f>
        <v>115</v>
      </c>
      <c r="L35" s="31"/>
    </row>
    <row r="36" spans="1:12" ht="18" customHeight="1" x14ac:dyDescent="0.2">
      <c r="B36" s="22" t="s">
        <v>32</v>
      </c>
      <c r="C36" s="7">
        <f>C35*C$6</f>
        <v>2520</v>
      </c>
      <c r="D36" s="7">
        <f t="shared" ref="D36:I36" si="9">D35*D$6</f>
        <v>0</v>
      </c>
      <c r="E36" s="7">
        <f t="shared" si="9"/>
        <v>4750</v>
      </c>
      <c r="F36" s="7">
        <f t="shared" si="9"/>
        <v>2375</v>
      </c>
      <c r="G36" s="7">
        <f t="shared" si="9"/>
        <v>0</v>
      </c>
      <c r="H36" s="7">
        <f t="shared" si="9"/>
        <v>0</v>
      </c>
      <c r="I36" s="7">
        <f t="shared" si="9"/>
        <v>750</v>
      </c>
      <c r="K36" s="4"/>
      <c r="L36" s="27">
        <f>SUM(C36:I36)</f>
        <v>10395</v>
      </c>
    </row>
    <row r="37" spans="1:12" ht="18" customHeight="1" x14ac:dyDescent="0.2">
      <c r="B37" s="22"/>
      <c r="C37" s="7"/>
      <c r="D37" s="7"/>
      <c r="E37" s="7"/>
      <c r="F37" s="7"/>
      <c r="G37" s="7"/>
      <c r="H37" s="7"/>
      <c r="I37" s="7"/>
      <c r="K37" s="4"/>
      <c r="L37" s="27"/>
    </row>
    <row r="38" spans="1:12" s="23" customFormat="1" ht="27.75" customHeight="1" x14ac:dyDescent="0.2">
      <c r="A38" s="30" t="s">
        <v>53</v>
      </c>
      <c r="B38" s="32" t="s">
        <v>57</v>
      </c>
      <c r="C38" s="32"/>
      <c r="D38" s="32"/>
      <c r="E38" s="32"/>
      <c r="F38" s="32"/>
      <c r="G38" s="32"/>
      <c r="H38" s="32"/>
      <c r="I38" s="32"/>
      <c r="J38" s="33"/>
      <c r="L38" s="26"/>
    </row>
    <row r="39" spans="1:12" ht="15" customHeight="1" x14ac:dyDescent="0.2">
      <c r="C39" s="5" t="s">
        <v>22</v>
      </c>
      <c r="D39" s="5" t="s">
        <v>27</v>
      </c>
      <c r="E39" s="5" t="s">
        <v>27</v>
      </c>
      <c r="F39" s="5" t="s">
        <v>25</v>
      </c>
      <c r="G39" s="5" t="s">
        <v>25</v>
      </c>
      <c r="H39" s="5" t="s">
        <v>25</v>
      </c>
      <c r="I39" s="5" t="s">
        <v>54</v>
      </c>
      <c r="J39" s="9"/>
    </row>
    <row r="40" spans="1:12" ht="15" customHeight="1" x14ac:dyDescent="0.2">
      <c r="B40" s="19"/>
      <c r="C40" s="5" t="s">
        <v>23</v>
      </c>
      <c r="D40" s="5" t="s">
        <v>28</v>
      </c>
      <c r="E40" s="5" t="s">
        <v>24</v>
      </c>
      <c r="F40" s="5" t="s">
        <v>24</v>
      </c>
      <c r="G40" s="5" t="s">
        <v>34</v>
      </c>
      <c r="H40" s="5" t="s">
        <v>26</v>
      </c>
      <c r="I40" s="5" t="s">
        <v>55</v>
      </c>
      <c r="J40" s="9"/>
    </row>
    <row r="41" spans="1:12" ht="15" customHeight="1" x14ac:dyDescent="0.2">
      <c r="B41" s="19" t="s">
        <v>31</v>
      </c>
      <c r="C41" s="10">
        <v>126</v>
      </c>
      <c r="D41" s="10">
        <v>105</v>
      </c>
      <c r="E41" s="10">
        <v>95</v>
      </c>
      <c r="F41" s="10">
        <v>95</v>
      </c>
      <c r="G41" s="10">
        <v>65</v>
      </c>
      <c r="H41" s="10">
        <v>55</v>
      </c>
      <c r="I41" s="10">
        <v>37.5</v>
      </c>
      <c r="J41" s="9" t="s">
        <v>29</v>
      </c>
    </row>
    <row r="43" spans="1:12" ht="30.75" customHeight="1" x14ac:dyDescent="0.2">
      <c r="A43" s="20">
        <v>3.1</v>
      </c>
      <c r="B43" s="11" t="s">
        <v>36</v>
      </c>
      <c r="C43" s="12" t="s">
        <v>45</v>
      </c>
      <c r="D43" s="12"/>
      <c r="E43" s="12"/>
      <c r="F43" s="12"/>
      <c r="G43" s="12"/>
      <c r="H43" s="12"/>
      <c r="I43" s="12"/>
      <c r="J43" s="13">
        <f t="shared" ref="J43" si="10">SUM(C43:I43)</f>
        <v>0</v>
      </c>
    </row>
    <row r="44" spans="1:12" ht="30.75" customHeight="1" x14ac:dyDescent="0.2">
      <c r="A44" s="20">
        <f>A43+0.1</f>
        <v>3.2</v>
      </c>
      <c r="B44" s="11" t="s">
        <v>38</v>
      </c>
      <c r="C44" s="12" t="s">
        <v>45</v>
      </c>
      <c r="D44" s="12"/>
      <c r="E44" s="12"/>
      <c r="F44" s="12"/>
      <c r="G44" s="12"/>
      <c r="H44" s="12"/>
      <c r="I44" s="12"/>
      <c r="J44" s="13">
        <f>SUM(C44:I44)</f>
        <v>0</v>
      </c>
    </row>
    <row r="45" spans="1:12" ht="30.75" customHeight="1" x14ac:dyDescent="0.2">
      <c r="A45" s="20">
        <f t="shared" ref="A45:A50" si="11">A44+0.1</f>
        <v>3.3000000000000003</v>
      </c>
      <c r="B45" s="11" t="s">
        <v>37</v>
      </c>
      <c r="C45" s="12" t="s">
        <v>45</v>
      </c>
      <c r="D45" s="12"/>
      <c r="E45" s="12"/>
      <c r="F45" s="12"/>
      <c r="G45" s="12"/>
      <c r="H45" s="12"/>
      <c r="I45" s="12"/>
      <c r="J45" s="13">
        <f t="shared" ref="J45" si="12">SUM(C45:I45)</f>
        <v>0</v>
      </c>
    </row>
    <row r="46" spans="1:12" ht="25.5" x14ac:dyDescent="0.2">
      <c r="A46" s="20">
        <f t="shared" si="11"/>
        <v>3.4000000000000004</v>
      </c>
      <c r="B46" s="11" t="s">
        <v>46</v>
      </c>
      <c r="C46" s="12">
        <v>5</v>
      </c>
      <c r="D46" s="12"/>
      <c r="E46" s="12">
        <v>20</v>
      </c>
      <c r="F46" s="12"/>
      <c r="G46" s="12"/>
      <c r="H46" s="12"/>
      <c r="I46" s="12"/>
      <c r="J46" s="13">
        <f>SUM(C46:I46)</f>
        <v>25</v>
      </c>
    </row>
    <row r="47" spans="1:12" ht="30.75" customHeight="1" x14ac:dyDescent="0.2">
      <c r="A47" s="20">
        <f t="shared" si="11"/>
        <v>3.5000000000000004</v>
      </c>
      <c r="B47" s="11" t="s">
        <v>40</v>
      </c>
      <c r="C47" s="12">
        <v>5</v>
      </c>
      <c r="D47" s="12"/>
      <c r="E47" s="12">
        <v>10</v>
      </c>
      <c r="F47" s="12"/>
      <c r="G47" s="12"/>
      <c r="H47" s="12"/>
      <c r="I47" s="12"/>
      <c r="J47" s="13">
        <f>SUM(C47:I47)</f>
        <v>15</v>
      </c>
      <c r="K47" s="14"/>
    </row>
    <row r="48" spans="1:12" ht="30.75" customHeight="1" x14ac:dyDescent="0.2">
      <c r="A48" s="20">
        <f t="shared" si="11"/>
        <v>3.6000000000000005</v>
      </c>
      <c r="B48" s="11" t="s">
        <v>42</v>
      </c>
      <c r="C48" s="12" t="s">
        <v>47</v>
      </c>
      <c r="D48" s="12"/>
      <c r="E48" s="12"/>
      <c r="F48" s="12"/>
      <c r="G48" s="12"/>
      <c r="H48" s="12"/>
      <c r="I48" s="12"/>
      <c r="J48" s="13">
        <f>SUM(C48:I48)</f>
        <v>0</v>
      </c>
      <c r="K48" s="14"/>
    </row>
    <row r="49" spans="1:12" ht="30.75" customHeight="1" x14ac:dyDescent="0.2">
      <c r="A49" s="20">
        <f t="shared" si="11"/>
        <v>3.7000000000000006</v>
      </c>
      <c r="B49" s="11" t="s">
        <v>39</v>
      </c>
      <c r="C49" s="12">
        <v>5</v>
      </c>
      <c r="D49" s="12"/>
      <c r="E49" s="12">
        <v>20</v>
      </c>
      <c r="F49" s="12"/>
      <c r="G49" s="12"/>
      <c r="H49" s="12"/>
      <c r="I49" s="12"/>
      <c r="J49" s="13">
        <f>SUM(C49:I49)</f>
        <v>25</v>
      </c>
      <c r="K49" s="14"/>
    </row>
    <row r="50" spans="1:12" ht="30.75" customHeight="1" x14ac:dyDescent="0.2">
      <c r="A50" s="20">
        <f t="shared" si="11"/>
        <v>3.8000000000000007</v>
      </c>
      <c r="B50" s="11" t="s">
        <v>41</v>
      </c>
      <c r="C50" s="12">
        <v>5</v>
      </c>
      <c r="D50" s="12"/>
      <c r="E50" s="12"/>
      <c r="F50" s="12">
        <v>25</v>
      </c>
      <c r="G50" s="12"/>
      <c r="H50" s="12"/>
      <c r="I50" s="12">
        <v>20</v>
      </c>
      <c r="J50" s="13">
        <f>SUM(C50:I50)</f>
        <v>50</v>
      </c>
      <c r="K50" s="14"/>
    </row>
    <row r="51" spans="1:12" ht="30.75" customHeight="1" x14ac:dyDescent="0.2">
      <c r="A51" s="21">
        <v>2.1</v>
      </c>
      <c r="B51" s="11" t="s">
        <v>43</v>
      </c>
      <c r="C51" s="15" t="s">
        <v>52</v>
      </c>
      <c r="D51" s="15"/>
      <c r="E51" s="15"/>
      <c r="F51" s="15"/>
      <c r="G51" s="15"/>
      <c r="H51" s="15"/>
      <c r="I51" s="15"/>
      <c r="J51" s="16">
        <f t="shared" ref="J51" si="13">SUM(C51:I51)</f>
        <v>0</v>
      </c>
    </row>
    <row r="52" spans="1:12" ht="18" customHeight="1" x14ac:dyDescent="0.2">
      <c r="B52" s="22" t="s">
        <v>30</v>
      </c>
      <c r="C52" s="6">
        <f t="shared" ref="C52:I52" si="14">SUM(C43:C51)</f>
        <v>20</v>
      </c>
      <c r="D52" s="6">
        <f t="shared" si="14"/>
        <v>0</v>
      </c>
      <c r="E52" s="6">
        <f t="shared" si="14"/>
        <v>50</v>
      </c>
      <c r="F52" s="6">
        <f t="shared" si="14"/>
        <v>25</v>
      </c>
      <c r="G52" s="6">
        <f t="shared" si="14"/>
        <v>0</v>
      </c>
      <c r="H52" s="6">
        <f t="shared" si="14"/>
        <v>0</v>
      </c>
      <c r="I52" s="6">
        <f t="shared" si="14"/>
        <v>20</v>
      </c>
      <c r="K52" s="24">
        <f>SUM(J43:J51)</f>
        <v>115</v>
      </c>
      <c r="L52" s="31"/>
    </row>
    <row r="53" spans="1:12" ht="18" customHeight="1" x14ac:dyDescent="0.2">
      <c r="B53" s="22" t="s">
        <v>32</v>
      </c>
      <c r="C53" s="7">
        <f>C52*C$6</f>
        <v>2520</v>
      </c>
      <c r="D53" s="7">
        <f t="shared" ref="D53" si="15">D52*D$6</f>
        <v>0</v>
      </c>
      <c r="E53" s="7">
        <f t="shared" ref="E53" si="16">E52*E$6</f>
        <v>4750</v>
      </c>
      <c r="F53" s="7">
        <f t="shared" ref="F53" si="17">F52*F$6</f>
        <v>2375</v>
      </c>
      <c r="G53" s="7">
        <f t="shared" ref="G53" si="18">G52*G$6</f>
        <v>0</v>
      </c>
      <c r="H53" s="7">
        <f t="shared" ref="H53" si="19">H52*H$6</f>
        <v>0</v>
      </c>
      <c r="I53" s="7">
        <f t="shared" ref="I53" si="20">I52*I$6</f>
        <v>750</v>
      </c>
      <c r="L53" s="27">
        <f>SUM(C53:I53)</f>
        <v>10395</v>
      </c>
    </row>
    <row r="54" spans="1:12" x14ac:dyDescent="0.2">
      <c r="L54" s="31"/>
    </row>
    <row r="55" spans="1:12" x14ac:dyDescent="0.2">
      <c r="I55" s="29" t="s">
        <v>56</v>
      </c>
      <c r="K55" s="17">
        <f>SUM(K8:K52)</f>
        <v>660</v>
      </c>
      <c r="L55" s="27">
        <f>SUM(L8:L53)</f>
        <v>62230</v>
      </c>
    </row>
  </sheetData>
  <mergeCells count="3">
    <mergeCell ref="B3:J3"/>
    <mergeCell ref="B21:J21"/>
    <mergeCell ref="B38:J38"/>
  </mergeCells>
  <pageMargins left="0.51181102362204722" right="0.43307086614173229" top="1.1417322834645669" bottom="0.78740157480314965" header="0.31496062992125984" footer="0.31496062992125984"/>
  <pageSetup paperSize="9" scale="77" fitToHeight="3" orientation="landscape" verticalDpi="0" r:id="rId1"/>
  <headerFooter scaleWithDoc="0">
    <oddHeader xml:space="preserve">&amp;L&amp;9ASTRA F3
EM OT Bäumlihofbrücke&amp;C&amp;"Arial,Fett"N01"Phase DP Lärm" 
Aufwandschätzung </oddHeader>
    <oddFooter>&amp;R&amp;8&amp;P/&amp;N&amp;L&amp;7</oddFooter>
  </headerFooter>
  <rowBreaks count="2" manualBreakCount="2">
    <brk id="20" max="16383" man="1"/>
    <brk id="36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HiddenXML</vt:lpstr>
      <vt:lpstr>Total_Aufwand</vt:lpstr>
    </vt:vector>
  </TitlesOfParts>
  <Company>Bundesverwaltung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Dalla Libera Ornella GS-UVEK</dc:creator>
  <cp:lastModifiedBy>Falzone Lorenzo</cp:lastModifiedBy>
  <cp:lastPrinted>2023-01-22T10:58:36Z</cp:lastPrinted>
  <dcterms:created xsi:type="dcterms:W3CDTF">2018-11-26T11:32:06Z</dcterms:created>
  <dcterms:modified xsi:type="dcterms:W3CDTF">2023-05-24T15:15:03Z</dcterms:modified>
</cp:coreProperties>
</file>